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e9d841d3c649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优化点总表" sheetId="1" r:id="Ra17af6f8eb7143bc"/>
    <x:sheet xmlns:r="http://schemas.openxmlformats.org/officeDocument/2006/relationships" name="行动清单(P0-P1)" sheetId="2" r:id="Rdbc9f46a0e1845bd"/>
    <x:sheet xmlns:r="http://schemas.openxmlformats.org/officeDocument/2006/relationships" name="跳过清单" sheetId="3" r:id="R237dce27ec41487c"/>
    <x:sheet xmlns:r="http://schemas.openxmlformats.org/officeDocument/2006/relationships" name="精确代码复核" sheetId="4" r:id="Rfcac2a4ad85d45bd"/>
    <x:sheet xmlns:r="http://schemas.openxmlformats.org/officeDocument/2006/relationships" name="测试与收益" sheetId="5" r:id="R02ce2d37778a4c09"/>
    <x:sheet xmlns:r="http://schemas.openxmlformats.org/officeDocument/2006/relationships" name="Review证据" sheetId="6" r:id="R2bafca7df64f4e7a"/>
    <x:sheet xmlns:r="http://schemas.openxmlformats.org/officeDocument/2006/relationships" name="流水线与版本" sheetId="7" r:id="R2dcf0478c514403d"/>
    <x:sheet xmlns:r="http://schemas.openxmlformats.org/officeDocument/2006/relationships" name="统计看板" sheetId="8" r:id="R2a2c9636fe504ab7"/>
    <x:sheet xmlns:r="http://schemas.openxmlformats.org/officeDocument/2006/relationships" name="上游Bugfix" sheetId="9" r:id="R4d6178d44ac24e5b"/>
    <x:sheet xmlns:r="http://schemas.openxmlformats.org/officeDocument/2006/relationships" name="全部PR分析" sheetId="10" r:id="Rbda8b146c0c7400a"/>
    <x:sheet xmlns:r="http://schemas.openxmlformats.org/officeDocument/2006/relationships" name="上游功能接口" sheetId="11" r:id="R24838a79749f40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yyyy-mm-dd"/>
    <x:numFmt numFmtId="202" formatCode="yyyy-mm-dd hh:mm"/>
    <x:numFmt numFmtId="203" formatCode="0%"/>
    <x:numFmt numFmtId="204" formatCode="yyyy-mm-dd hh:mm:ss"/>
  </x:numFmts>
  <x:fonts count="40">
    <x:font>
      <x:sz val="11"/>
      <x:name val="Carlito"/>
    </x:font>
    <x:font>
      <x:b/>
      <x:sz val="16"/>
      <x:color rgb="FFFFFFFF"/>
      <x:name val="Carlito"/>
    </x:font>
    <x:font>
      <x:sz val="10"/>
      <x:color rgb="FF1F1F1F"/>
      <x:name val="Carlito"/>
    </x:font>
    <x:font>
      <x:b/>
      <x:sz val="10"/>
      <x:color rgb="FFFFFFFF"/>
      <x:name val="Carlito"/>
    </x:font>
    <x:font>
      <x:sz val="9"/>
      <x:color rgb="FF1F1F1F"/>
      <x:name val="Carlito"/>
    </x:font>
    <x:font>
      <x:b/>
      <x:sz val="9"/>
      <x:color rgb="FF1F1F1F"/>
      <x:name val="Carlito"/>
    </x:font>
    <x:font>
      <x:b/>
      <x:sz val="10"/>
      <x:color rgb="FF1F1F1F"/>
      <x:name val="Carlito"/>
    </x:font>
    <x:font>
      <x:b/>
      <x:sz val="12"/>
      <x:color rgb="FF4472C4"/>
      <x:name val="Carlito"/>
    </x:font>
    <x:font>
      <x:sz val="11"/>
      <x:color rgb="FF1F1F1F"/>
      <x:name val="Carlito"/>
    </x:font>
    <x:font>
      <x:b/>
      <x:sz val="11"/>
      <x:color rgb="FF1F1F1F"/>
      <x:name val="Carlito"/>
    </x:font>
    <x:font>
      <x:b/>
      <x:sz val="9"/>
      <x:color rgb="FF333333"/>
      <x:name val="Carlito"/>
    </x:font>
    <x:font>
      <x:sz val="9"/>
      <x:color rgb="FF333333"/>
      <x:name val="Carlito"/>
    </x:font>
    <x:font>
      <x:b/>
      <x:sz val="11"/>
      <x:color rgb="FF4472C4"/>
      <x:name val="Carlito"/>
    </x:font>
    <x:font>
      <x:sz val="9"/>
      <x:color rgb="FF17365D"/>
      <x:name val="Carlito"/>
    </x:font>
    <x:font>
      <x:b/>
      <x:sz val="9"/>
      <x:color rgb="FF17365D"/>
      <x:name val="Carlito"/>
    </x:font>
    <x:font>
      <x:sz val="9"/>
      <x:color rgb="FF44546A"/>
      <x:name val="Carlito"/>
    </x:font>
    <x:font>
      <x:b/>
      <x:sz val="10"/>
      <x:color rgb="FF17365D"/>
      <x:name val="Carlito"/>
    </x:font>
    <x:font>
      <x:b/>
      <x:sz val="9"/>
      <x:color rgb="FF7F6000"/>
      <x:name val="Carlito"/>
    </x:font>
    <x:font>
      <x:b/>
      <x:sz val="9"/>
      <x:color rgb="FFFFFFFF"/>
      <x:name val="Carlito"/>
    </x:font>
    <x:font>
      <x:b/>
      <x:sz val="10"/>
      <x:color rgb="FF333333"/>
      <x:name val="Carlito"/>
    </x:font>
    <x:font>
      <x:sz val="10"/>
      <x:color rgb="FF333333"/>
      <x:name val="Carlito"/>
    </x:font>
    <x:font>
      <x:b/>
      <x:sz val="11"/>
      <x:color rgb="FF375623"/>
      <x:name val="Carlito"/>
    </x:font>
    <x:font>
      <x:sz val="10"/>
      <x:color rgb="FF333333"/>
      <x:name val="Carlito"/>
    </x:font>
    <x:font>
      <x:sz val="10"/>
      <x:color rgb="FF333333"/>
      <x:name val="Carlito"/>
    </x:font>
    <x:font>
      <x:sz val="10"/>
      <x:color rgb="FF333333"/>
      <x:name val="Carlito"/>
    </x:font>
    <x:font>
      <x:sz val="10"/>
      <x:color rgb="FF333333"/>
      <x:name val="Carlito"/>
    </x:font>
    <x:font>
      <x:sz val="10"/>
      <x:color rgb="FF333333"/>
      <x:name val="Carlito"/>
    </x:font>
    <x:font>
      <x:sz val="10"/>
      <x:color rgb="FF333333"/>
      <x:name val="Carlito"/>
    </x:font>
    <x:font>
      <x:sz val="10"/>
      <x:color rgb="FF333333"/>
      <x:name val="Carlito"/>
    </x:font>
    <x:font>
      <x:sz val="10"/>
      <x:color rgb="FF333333"/>
      <x:name val="Carlito"/>
    </x:font>
    <x:font>
      <x:sz val="10"/>
      <x:color rgb="FF333333"/>
      <x:name val="Carlito"/>
    </x:font>
    <x:font>
      <x:sz val="10"/>
      <x:color rgb="FF333333"/>
      <x:name val="Carlito"/>
    </x:font>
    <x:font>
      <x:sz val="10"/>
      <x:color rgb="FF333333"/>
      <x:name val="Carlito"/>
    </x:font>
    <x:font>
      <x:sz val="10"/>
      <x:color rgb="FF333333"/>
      <x:name val="Carlito"/>
    </x:font>
    <x:font>
      <x:sz val="10"/>
      <x:color rgb="FF333333"/>
      <x:name val="Carlito"/>
    </x:font>
    <x:font>
      <x:sz val="10"/>
      <x:color rgb="FF333333"/>
      <x:name val="Carlito"/>
    </x:font>
    <x:font>
      <x:sz val="10"/>
      <x:color rgb="FF333333"/>
      <x:name val="Carlito"/>
    </x:font>
    <x:font>
      <x:sz val="10"/>
      <x:color rgb="FF333333"/>
      <x:name val="Carlito"/>
    </x:font>
    <x:font>
      <x:sz val="10"/>
      <x:color rgb="FF333333"/>
      <x:name val="Carlito"/>
    </x:font>
    <x:font>
      <x:sz val="10"/>
      <x:color rgb="FF333333"/>
      <x:name val="Carlito"/>
    </x:font>
  </x:fonts>
  <x:fills count="231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EEF3F8"/>
      </x:patternFill>
    </x:fill>
    <x:fill>
      <x:patternFill patternType="solid">
        <x:fgColor rgb="FFEAF2F8"/>
      </x:patternFill>
    </x:fill>
    <x:fill>
      <x:patternFill patternType="solid">
        <x:fgColor rgb="FFFFC000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7F7F7F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DCE6F1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FFC000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</x:fills>
  <x:borders count="24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7B7B7"/>
      </x:left>
      <x:top style="thin">
        <x:color rgb="FFB7B7B7"/>
      </x:top>
    </x:border>
    <x:border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bottom style="thin">
        <x:color rgb="FFB7B7B7"/>
      </x:bottom>
    </x:border>
    <x:border>
      <x:bottom style="thin">
        <x:color rgb="FFB7B7B7"/>
      </x:bottom>
    </x:border>
    <x:border>
      <x:right style="thin">
        <x:color rgb="FFB7B7B7"/>
      </x:right>
      <x:bottom style="thin">
        <x:color rgb="FFB7B7B7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9EADBA"/>
      </x:left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7B7B7"/>
      </x:left>
      <x:right style="thin">
        <x:color rgb="FFE7E6E6"/>
      </x:right>
      <x:top style="thin">
        <x:color rgb="FFB7B7B7"/>
      </x:top>
      <x:bottom style="thin">
        <x:color rgb="FFD9E2F3"/>
      </x:bottom>
    </x:border>
    <x:border>
      <x:left style="thin">
        <x:color rgb="FFE7E6E6"/>
      </x:left>
      <x:right style="thin">
        <x:color rgb="FFE7E6E6"/>
      </x:right>
      <x:top style="thin">
        <x:color rgb="FFB7B7B7"/>
      </x:top>
      <x:bottom style="thin">
        <x:color rgb="FFD9E2F3"/>
      </x:bottom>
    </x:border>
    <x:border>
      <x:left style="thin">
        <x:color rgb="FFE7E6E6"/>
      </x:left>
      <x:right style="thin">
        <x:color rgb="FFB7B7B7"/>
      </x:right>
      <x:top style="thin">
        <x:color rgb="FFB7B7B7"/>
      </x:top>
      <x:bottom style="thin">
        <x:color rgb="FFD9E2F3"/>
      </x:bottom>
    </x:border>
    <x:border>
      <x:left style="thin">
        <x:color rgb="FFB7B7B7"/>
      </x:left>
      <x:right style="thin">
        <x:color rgb="FFE7E6E6"/>
      </x:right>
      <x:top style="thin">
        <x:color rgb="FFD9E2F3"/>
      </x:top>
      <x:bottom style="thin">
        <x:color rgb="FFD9E2F3"/>
      </x:bottom>
    </x:border>
    <x:border>
      <x:left style="thin">
        <x:color rgb="FFE7E6E6"/>
      </x:left>
      <x:right style="thin">
        <x:color rgb="FFE7E6E6"/>
      </x:right>
      <x:top style="thin">
        <x:color rgb="FFD9E2F3"/>
      </x:top>
      <x:bottom style="thin">
        <x:color rgb="FFD9E2F3"/>
      </x:bottom>
    </x:border>
    <x:border>
      <x:left style="thin">
        <x:color rgb="FFE7E6E6"/>
      </x:left>
      <x:right style="thin">
        <x:color rgb="FFB7B7B7"/>
      </x:right>
      <x:top style="thin">
        <x:color rgb="FFD9E2F3"/>
      </x:top>
      <x:bottom style="thin">
        <x:color rgb="FFD9E2F3"/>
      </x:bottom>
    </x:border>
    <x:border>
      <x:left style="thin">
        <x:color rgb="FFB7B7B7"/>
      </x:left>
      <x:right style="thin">
        <x:color rgb="FFE7E6E6"/>
      </x:right>
      <x:top style="thin">
        <x:color rgb="FFD9E2F3"/>
      </x:top>
      <x:bottom style="thin">
        <x:color rgb="FFB7B7B7"/>
      </x:bottom>
    </x:border>
    <x:border>
      <x:left style="thin">
        <x:color rgb="FFE7E6E6"/>
      </x:left>
      <x:right style="thin">
        <x:color rgb="FFE7E6E6"/>
      </x:right>
      <x:top style="thin">
        <x:color rgb="FFD9E2F3"/>
      </x:top>
      <x:bottom style="thin">
        <x:color rgb="FFB7B7B7"/>
      </x:bottom>
    </x:border>
    <x:border>
      <x:left style="thin">
        <x:color rgb="FFE7E6E6"/>
      </x:left>
      <x:right style="thin">
        <x:color rgb="FFB7B7B7"/>
      </x:right>
      <x:top style="thin">
        <x:color rgb="FFD9E2F3"/>
      </x:top>
      <x:bottom style="thin">
        <x:color rgb="FFB7B7B7"/>
      </x:bottom>
    </x:border>
  </x:borders>
  <x:cellStyleXfs count="1">
    <x:xf numFmtId="0" fontId="0" fillId="0" borderId="0"/>
  </x:cellStyleXfs>
  <x:cellXfs count="19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left"/>
    </x:xf>
    <x:xf numFmtId="0" fontId="1" fillId="5" borderId="0" xfId="0" applyNumberFormat="1" applyFont="1" applyFill="1" applyBorder="1" applyAlignment="1">
      <x:alignment horizontal="left" vertical="center"/>
    </x:xf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/>
    </x:xf>
    <x:xf numFmtId="0" fontId="1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horizont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1" xfId="0" applyNumberFormat="1" applyFont="1" applyFill="1" applyBorder="1"/>
    <x:xf numFmtId="0" fontId="4" fillId="11" borderId="1" xfId="0" applyNumberFormat="1" applyFont="1" applyFill="1" applyBorder="1" applyAlignment="1">
      <x:alignment wrapText="1"/>
    </x:xf>
    <x:xf numFmtId="0" fontId="4" fillId="11" borderId="1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left"/>
    </x:xf>
    <x:xf numFmtId="0" fontId="1" fillId="12" borderId="0" xfId="0" applyNumberFormat="1" applyFont="1" applyFill="1" applyBorder="1" applyAlignment="1">
      <x:alignment horizontal="left" vertical="center"/>
    </x:xf>
    <x:xf numFmtId="0" fontId="3" fillId="12" borderId="0" xfId="0" applyNumberFormat="1" applyFont="1" applyFill="1" applyBorder="1"/>
    <x:xf numFmtId="0" fontId="3" fillId="12" borderId="1" xfId="0" applyNumberFormat="1" applyFont="1" applyFill="1" applyBorder="1"/>
    <x:xf numFmtId="0" fontId="3" fillId="12" borderId="1" xfId="0" applyNumberFormat="1" applyFont="1" applyFill="1" applyBorder="1" applyAlignment="1">
      <x:alignment wrapText="1"/>
    </x:xf>
    <x:xf numFmtId="0" fontId="3" fillId="12" borderId="1" xfId="0" applyNumberFormat="1" applyFont="1" applyFill="1" applyBorder="1" applyAlignment="1">
      <x:alignment horizontal="center" wrapText="1"/>
    </x:xf>
    <x:xf numFmtId="0" fontId="3" fillId="12" borderId="1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1" xfId="0" applyNumberFormat="1" applyFont="1" applyFill="1" applyBorder="1"/>
    <x:xf numFmtId="0" fontId="4" fillId="13" borderId="1" xfId="0" applyNumberFormat="1" applyFont="1" applyFill="1" applyBorder="1" applyAlignment="1">
      <x:alignment wrapText="1"/>
    </x:xf>
    <x:xf numFmtId="0" fontId="4" fillId="13" borderId="1" xfId="0" applyNumberFormat="1" applyFont="1" applyFill="1" applyBorder="1" applyAlignment="1">
      <x:alignment vertical="top" wrapText="1"/>
    </x:xf>
    <x:xf numFmtId="200" fontId="4" fillId="4" borderId="1" xfId="0" applyNumberFormat="1" applyFont="1" applyFill="1" applyBorder="1" applyAlignment="1">
      <x:alignment vertical="top" wrapText="1"/>
    </x:xf>
    <x:xf numFmtId="200" fontId="4" fillId="6" borderId="1" xfId="0" applyNumberFormat="1" applyFont="1" applyFill="1" applyBorder="1" applyAlignment="1">
      <x:alignment vertical="top" wrapText="1"/>
    </x:xf>
    <x:xf numFmtId="200" fontId="4" fillId="4" borderId="1" xfId="0" applyNumberFormat="1" applyFont="1" applyFill="1" applyBorder="1" applyAlignment="1">
      <x:alignment horizontal="center" vertical="top" wrapText="1"/>
    </x:xf>
    <x:xf numFmtId="200" fontId="4" fillId="6" borderId="1" xfId="0" applyNumberFormat="1" applyFont="1" applyFill="1" applyBorder="1" applyAlignment="1">
      <x:alignment horizontal="center"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0" fontId="8" fillId="8" borderId="0" xfId="0" applyNumberFormat="1" applyFont="1" applyFill="1" applyBorder="1"/>
    <x:xf numFmtId="0" fontId="8" fillId="8" borderId="2" xfId="0" applyNumberFormat="1" applyFont="1" applyFill="1" applyBorder="1"/>
    <x:xf numFmtId="0" fontId="8" fillId="8" borderId="3" xfId="0" applyNumberFormat="1" applyFont="1" applyFill="1" applyBorder="1"/>
    <x:xf numFmtId="0" fontId="8" fillId="8" borderId="4" xfId="0" applyNumberFormat="1" applyFont="1" applyFill="1" applyBorder="1"/>
    <x:xf numFmtId="0" fontId="8" fillId="8" borderId="5" xfId="0" applyNumberFormat="1" applyFont="1" applyFill="1" applyBorder="1"/>
    <x:xf numFmtId="0" fontId="8" fillId="8" borderId="6" xfId="0" applyNumberFormat="1" applyFont="1" applyFill="1" applyBorder="1"/>
    <x:xf numFmtId="0" fontId="8" fillId="8" borderId="7" xfId="0" applyNumberFormat="1" applyFont="1" applyFill="1" applyBorder="1"/>
    <x:xf numFmtId="0" fontId="8" fillId="8" borderId="8" xfId="0" applyNumberFormat="1" applyFont="1" applyFill="1" applyBorder="1"/>
    <x:xf numFmtId="0" fontId="8" fillId="8" borderId="9" xfId="0" applyNumberFormat="1" applyFont="1" applyFill="1" applyBorder="1"/>
    <x:xf numFmtId="0" fontId="8" fillId="8" borderId="2" xfId="0" applyNumberFormat="1" applyFont="1" applyFill="1" applyBorder="1" applyAlignment="1">
      <x:alignment wrapText="1"/>
    </x:xf>
    <x:xf numFmtId="0" fontId="8" fillId="8" borderId="3" xfId="0" applyNumberFormat="1" applyFont="1" applyFill="1" applyBorder="1" applyAlignment="1">
      <x:alignment wrapText="1"/>
    </x:xf>
    <x:xf numFmtId="0" fontId="8" fillId="8" borderId="4" xfId="0" applyNumberFormat="1" applyFont="1" applyFill="1" applyBorder="1" applyAlignment="1">
      <x:alignment wrapText="1"/>
    </x:xf>
    <x:xf numFmtId="0" fontId="8" fillId="8" borderId="5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6" xfId="0" applyNumberFormat="1" applyFont="1" applyFill="1" applyBorder="1" applyAlignment="1">
      <x:alignment wrapText="1"/>
    </x:xf>
    <x:xf numFmtId="0" fontId="8" fillId="8" borderId="7" xfId="0" applyNumberFormat="1" applyFont="1" applyFill="1" applyBorder="1" applyAlignment="1">
      <x:alignment wrapText="1"/>
    </x:xf>
    <x:xf numFmtId="0" fontId="8" fillId="8" borderId="8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wrapText="1"/>
    </x:xf>
    <x:xf numFmtId="0" fontId="8" fillId="8" borderId="2" xfId="0" applyNumberFormat="1" applyFont="1" applyFill="1" applyBorder="1" applyAlignment="1">
      <x:alignment vertical="top" wrapText="1"/>
    </x:xf>
    <x:xf numFmtId="0" fontId="8" fillId="8" borderId="3" xfId="0" applyNumberFormat="1" applyFont="1" applyFill="1" applyBorder="1" applyAlignment="1">
      <x:alignment vertical="top" wrapText="1"/>
    </x:xf>
    <x:xf numFmtId="0" fontId="8" fillId="8" borderId="4" xfId="0" applyNumberFormat="1" applyFont="1" applyFill="1" applyBorder="1" applyAlignment="1">
      <x:alignment vertical="top" wrapText="1"/>
    </x:xf>
    <x:xf numFmtId="0" fontId="8" fillId="8" borderId="5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top" wrapText="1"/>
    </x:xf>
    <x:xf numFmtId="0" fontId="8" fillId="8" borderId="6" xfId="0" applyNumberFormat="1" applyFont="1" applyFill="1" applyBorder="1" applyAlignment="1">
      <x:alignment vertical="top" wrapText="1"/>
    </x:xf>
    <x:xf numFmtId="0" fontId="8" fillId="8" borderId="7" xfId="0" applyNumberFormat="1" applyFont="1" applyFill="1" applyBorder="1" applyAlignment="1">
      <x:alignment vertical="top" wrapText="1"/>
    </x:xf>
    <x:xf numFmtId="0" fontId="8" fillId="8" borderId="8" xfId="0" applyNumberFormat="1" applyFont="1" applyFill="1" applyBorder="1" applyAlignment="1">
      <x:alignment vertical="top" wrapText="1"/>
    </x:xf>
    <x:xf numFmtId="0" fontId="8" fillId="8" borderId="9" xfId="0" applyNumberFormat="1" applyFont="1" applyFill="1" applyBorder="1" applyAlignment="1">
      <x:alignment vertical="top" wrapText="1"/>
    </x:xf>
    <x:xf numFmtId="0" fontId="9" fillId="13" borderId="0" xfId="0" applyNumberFormat="1" applyFont="1" applyFill="1" applyBorder="1"/>
    <x:xf numFmtId="0" fontId="9" fillId="13" borderId="0" xfId="0" applyNumberFormat="1" applyFont="1" applyFill="1" applyBorder="1" applyAlignment="1">
      <x:alignment wrapText="1"/>
    </x:xf>
    <x:xf numFmtId="201" fontId="4" fillId="4" borderId="1" xfId="0" applyNumberFormat="1" applyFont="1" applyFill="1" applyBorder="1" applyAlignment="1">
      <x:alignment vertical="top" wrapText="1"/>
    </x:xf>
    <x:xf numFmtId="201" fontId="4" fillId="6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10" fillId="5" borderId="1" xfId="0" applyNumberFormat="1" applyFont="1" applyFill="1" applyBorder="1" applyAlignment="1">
      <x:alignment horizontal="center" vertical="top" wrapText="1"/>
    </x:xf>
    <x:xf numFmtId="0" fontId="11" fillId="4" borderId="1" xfId="0" applyNumberFormat="1" applyFont="1" applyFill="1" applyBorder="1" applyAlignment="1">
      <x:alignment vertical="top" wrapText="1"/>
    </x:xf>
    <x:xf numFmtId="201" fontId="11" fillId="4" borderId="1" xfId="0" applyNumberFormat="1" applyFont="1" applyFill="1" applyBorder="1" applyAlignment="1">
      <x:alignment vertical="top" wrapText="1"/>
    </x:xf>
    <x:xf numFmtId="0" fontId="11" fillId="4" borderId="1" xfId="0" applyNumberFormat="1" applyFont="1" applyFill="1" applyBorder="1" applyAlignment="1">
      <x:alignment horizontal="center" vertical="top" wrapText="1"/>
    </x:xf>
    <x:xf numFmtId="0" fontId="11" fillId="7" borderId="1" xfId="0" applyNumberFormat="1" applyFont="1" applyFill="1" applyBorder="1" applyAlignment="1">
      <x:alignment horizontal="center" vertical="top" wrapText="1"/>
    </x:xf>
    <x:xf numFmtId="0" fontId="11" fillId="6" borderId="1" xfId="0" applyNumberFormat="1" applyFont="1" applyFill="1" applyBorder="1" applyAlignment="1">
      <x:alignment vertical="top" wrapText="1"/>
    </x:xf>
    <x:xf numFmtId="201" fontId="11" fillId="6" borderId="1" xfId="0" applyNumberFormat="1" applyFont="1" applyFill="1" applyBorder="1" applyAlignment="1">
      <x:alignment vertical="top" wrapText="1"/>
    </x:xf>
    <x:xf numFmtId="0" fontId="11" fillId="6" borderId="1" xfId="0" applyNumberFormat="1" applyFont="1" applyFill="1" applyBorder="1" applyAlignment="1">
      <x:alignment horizontal="center" vertical="top" wrapText="1"/>
    </x:xf>
    <x:xf numFmtId="0" fontId="11" fillId="0" borderId="0" xfId="0" applyNumberFormat="1" applyFont="1" applyFill="1" applyBorder="1" applyAlignment="1">
      <x:alignment vertical="top" wrapText="1"/>
    </x:xf>
    <x:xf numFmtId="201" fontId="11" fillId="0" borderId="0" xfId="0" applyNumberFormat="1" applyFont="1" applyFill="1" applyBorder="1" applyAlignment="1">
      <x:alignment vertical="top" wrapText="1"/>
    </x:xf>
    <x:xf numFmtId="201" fontId="11" fillId="4" borderId="1" xfId="0" applyNumberFormat="1" applyFont="1" applyFill="1" applyBorder="1" applyAlignment="1">
      <x:alignment horizontal="center" vertical="top" wrapText="1"/>
    </x:xf>
    <x:xf numFmtId="201" fontId="11" fillId="6" borderId="1" xfId="0" applyNumberFormat="1" applyFont="1" applyFill="1" applyBorder="1" applyAlignment="1">
      <x:alignment horizontal="center" vertical="top" wrapText="1"/>
    </x:xf>
    <x:xf numFmtId="0" fontId="11" fillId="0" borderId="0" xfId="0" applyNumberFormat="1" applyFont="1" applyFill="1" applyBorder="1" applyAlignment="1">
      <x:alignment horizontal="center" vertical="top" wrapText="1"/>
    </x:xf>
    <x:xf numFmtId="201" fontId="11" fillId="0" borderId="0" xfId="0" applyNumberFormat="1" applyFont="1" applyFill="1" applyBorder="1" applyAlignment="1">
      <x:alignment horizontal="center" vertical="top" wrapText="1"/>
    </x:xf>
    <x:xf numFmtId="0" fontId="10" fillId="14" borderId="1" xfId="0" applyNumberFormat="1" applyFont="1" applyFill="1" applyBorder="1" applyAlignment="1">
      <x:alignment horizontal="center" vertical="top" wrapText="1"/>
    </x:xf>
    <x:xf numFmtId="0" fontId="11" fillId="14" borderId="1" xfId="0" applyNumberFormat="1" applyFont="1" applyFill="1" applyBorder="1" applyAlignment="1">
      <x:alignment horizontal="center" vertical="top" wrapText="1"/>
    </x:xf>
    <x:xf numFmtId="201" fontId="11" fillId="14" borderId="1" xfId="0" applyNumberFormat="1" applyFont="1" applyFill="1" applyBorder="1" applyAlignment="1">
      <x:alignment horizontal="center" vertical="top" wrapText="1"/>
    </x:xf>
    <x:xf numFmtId="0" fontId="11" fillId="14" borderId="1" xfId="0" applyNumberFormat="1" applyFont="1" applyFill="1" applyBorder="1" applyAlignment="1">
      <x:alignment vertical="top" wrapText="1"/>
    </x:xf>
    <x:xf numFmtId="0" fontId="11" fillId="15" borderId="1" xfId="0" applyNumberFormat="1" applyFont="1" applyFill="1" applyBorder="1" applyAlignment="1">
      <x:alignment horizontal="center" vertical="top" wrapText="1"/>
    </x:xf>
    <x:xf numFmtId="201" fontId="11" fillId="15" borderId="1" xfId="0" applyNumberFormat="1" applyFont="1" applyFill="1" applyBorder="1" applyAlignment="1">
      <x:alignment horizontal="center" vertical="top" wrapText="1"/>
    </x:xf>
    <x:xf numFmtId="0" fontId="11" fillId="15" borderId="1" xfId="0" applyNumberFormat="1" applyFont="1" applyFill="1" applyBorder="1" applyAlignment="1">
      <x:alignment vertical="top" wrapText="1"/>
    </x:xf>
    <x:xf numFmtId="0" fontId="10" fillId="15" borderId="1" xfId="0" applyNumberFormat="1" applyFont="1" applyFill="1" applyBorder="1" applyAlignment="1">
      <x:alignment horizontal="center" vertical="top" wrapText="1"/>
    </x:xf>
    <x:xf numFmtId="0" fontId="11" fillId="15" borderId="0" xfId="0" applyNumberFormat="1" applyFont="1" applyFill="1" applyBorder="1" applyAlignment="1">
      <x:alignment horizontal="center" vertical="top" wrapText="1"/>
    </x:xf>
    <x:xf numFmtId="201" fontId="11" fillId="15" borderId="0" xfId="0" applyNumberFormat="1" applyFont="1" applyFill="1" applyBorder="1" applyAlignment="1">
      <x:alignment horizontal="center" vertical="top" wrapText="1"/>
    </x:xf>
    <x:xf numFmtId="0" fontId="11" fillId="15" borderId="0" xfId="0" applyNumberFormat="1" applyFont="1" applyFill="1" applyBorder="1" applyAlignment="1">
      <x:alignment vertical="top" wrapText="1"/>
    </x:xf>
    <x:xf numFmtId="0" fontId="11" fillId="14" borderId="0" xfId="0" applyNumberFormat="1" applyFont="1" applyFill="1" applyBorder="1" applyAlignment="1">
      <x:alignment horizontal="center" vertical="top" wrapText="1"/>
    </x:xf>
    <x:xf numFmtId="201" fontId="11" fillId="14" borderId="0" xfId="0" applyNumberFormat="1" applyFont="1" applyFill="1" applyBorder="1" applyAlignment="1">
      <x:alignment horizontal="center" vertical="top" wrapText="1"/>
    </x:xf>
    <x:xf numFmtId="0" fontId="11" fillId="14" borderId="0" xfId="0" applyNumberFormat="1" applyFont="1" applyFill="1" applyBorder="1" applyAlignment="1">
      <x:alignment vertical="top" wrapText="1"/>
    </x:xf>
    <x:xf numFmtId="0" fontId="11" fillId="8" borderId="1" xfId="0" applyNumberFormat="1" applyFont="1" applyFill="1" applyBorder="1" applyAlignment="1">
      <x:alignment horizontal="center" vertical="top" wrapText="1"/>
    </x:xf>
    <x:xf numFmtId="0" fontId="11" fillId="8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201" fontId="4" fillId="7" borderId="1" xfId="0" applyNumberFormat="1" applyFont="1" applyFill="1" applyBorder="1" applyAlignment="1">
      <x:alignment horizontal="center" vertical="top" wrapText="1"/>
    </x:xf>
    <x:xf numFmtId="201" fontId="11" fillId="7" borderId="1" xfId="0" applyNumberFormat="1" applyFont="1" applyFill="1" applyBorder="1" applyAlignment="1">
      <x:alignment horizontal="center" vertical="top" wrapText="1"/>
    </x:xf>
    <x:xf numFmtId="0" fontId="11" fillId="7" borderId="1" xfId="0" applyNumberFormat="1" applyFont="1" applyFill="1" applyBorder="1" applyAlignment="1">
      <x:alignment vertical="top" wrapText="1"/>
    </x:xf>
    <x:xf numFmtId="0" fontId="11" fillId="16" borderId="1" xfId="0" applyNumberFormat="1" applyFont="1" applyFill="1" applyBorder="1" applyAlignment="1">
      <x:alignment horizontal="center" vertical="top" wrapText="1"/>
    </x:xf>
    <x:xf numFmtId="201" fontId="11" fillId="16" borderId="1" xfId="0" applyNumberFormat="1" applyFont="1" applyFill="1" applyBorder="1" applyAlignment="1">
      <x:alignment horizontal="center" vertical="top" wrapText="1"/>
    </x:xf>
    <x:xf numFmtId="0" fontId="11" fillId="16" borderId="1" xfId="0" applyNumberFormat="1" applyFont="1" applyFill="1" applyBorder="1" applyAlignment="1">
      <x:alignment vertical="top" wrapText="1"/>
    </x:xf>
    <x:xf numFmtId="0" fontId="11" fillId="16" borderId="0" xfId="0" applyNumberFormat="1" applyFont="1" applyFill="1" applyBorder="1" applyAlignment="1">
      <x:alignment horizontal="center" vertical="top" wrapText="1"/>
    </x:xf>
    <x:xf numFmtId="201" fontId="11" fillId="16" borderId="0" xfId="0" applyNumberFormat="1" applyFont="1" applyFill="1" applyBorder="1" applyAlignment="1">
      <x:alignment horizontal="center" vertical="top" wrapText="1"/>
    </x:xf>
    <x:xf numFmtId="0" fontId="11" fillId="16" borderId="0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horizontal="center" vertical="top" wrapText="1"/>
    </x:xf>
    <x:xf numFmtId="0" fontId="11" fillId="13" borderId="1" xfId="0" applyNumberFormat="1" applyFont="1" applyFill="1" applyBorder="1" applyAlignment="1">
      <x:alignment vertical="top" wrapText="1"/>
    </x:xf>
    <x:xf numFmtId="0" fontId="11" fillId="13" borderId="1" xfId="0" applyNumberFormat="1" applyFont="1" applyFill="1" applyBorder="1" applyAlignment="1">
      <x:alignment horizontal="center" vertical="top" wrapText="1"/>
    </x:xf>
    <x:xf numFmtId="0" fontId="11" fillId="17" borderId="1" xfId="0" applyNumberFormat="1" applyFont="1" applyFill="1" applyBorder="1" applyAlignment="1">
      <x:alignment horizontal="center" vertical="top" wrapText="1"/>
    </x:xf>
    <x:xf numFmtId="0" fontId="11" fillId="17" borderId="1" xfId="0" applyNumberFormat="1" applyFont="1" applyFill="1" applyBorder="1" applyAlignment="1">
      <x:alignment vertical="top" wrapText="1"/>
    </x:xf>
    <x:xf numFmtId="0" fontId="11" fillId="17" borderId="0" xfId="0" applyNumberFormat="1" applyFont="1" applyFill="1" applyBorder="1" applyAlignment="1">
      <x:alignment horizontal="center" vertical="top" wrapText="1"/>
    </x:xf>
    <x:xf numFmtId="0" fontId="11" fillId="17" borderId="0" xfId="0" applyNumberFormat="1" applyFont="1" applyFill="1" applyBorder="1" applyAlignment="1">
      <x:alignment vertical="top" wrapText="1"/>
    </x:xf>
    <x:xf numFmtId="200" fontId="11" fillId="4" borderId="1" xfId="0" applyNumberFormat="1" applyFont="1" applyFill="1" applyBorder="1" applyAlignment="1">
      <x:alignment horizontal="center" vertical="top" wrapText="1"/>
    </x:xf>
    <x:xf numFmtId="200" fontId="11" fillId="6" borderId="1" xfId="0" applyNumberFormat="1" applyFont="1" applyFill="1" applyBorder="1" applyAlignment="1">
      <x:alignment horizontal="center" vertical="top" wrapText="1"/>
    </x:xf>
    <x:xf numFmtId="200" fontId="11" fillId="14" borderId="1" xfId="0" applyNumberFormat="1" applyFont="1" applyFill="1" applyBorder="1" applyAlignment="1">
      <x:alignment horizontal="center" vertical="top" wrapText="1"/>
    </x:xf>
    <x:xf numFmtId="200" fontId="11" fillId="15" borderId="1" xfId="0" applyNumberFormat="1" applyFont="1" applyFill="1" applyBorder="1" applyAlignment="1">
      <x:alignment horizontal="center" vertical="top" wrapText="1"/>
    </x:xf>
    <x:xf numFmtId="0" fontId="10" fillId="4" borderId="1" xfId="0" applyNumberFormat="1" applyFont="1" applyFill="1" applyBorder="1" applyAlignment="1">
      <x:alignment vertical="top" wrapText="1"/>
    </x:xf>
    <x:xf numFmtId="0" fontId="10" fillId="6" borderId="1" xfId="0" applyNumberFormat="1" applyFont="1" applyFill="1" applyBorder="1" applyAlignment="1">
      <x:alignment vertical="top" wrapText="1"/>
    </x:xf>
    <x:xf numFmtId="0" fontId="4" fillId="4" borderId="10" xfId="0" applyNumberFormat="1" applyFont="1" applyFill="1" applyBorder="1" applyAlignment="1">
      <x:alignment vertical="top" wrapText="1"/>
    </x:xf>
    <x:xf numFmtId="200" fontId="7" fillId="6" borderId="10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/>
    <x:xf numFmtId="0" fontId="4" fillId="18" borderId="10" xfId="0" applyNumberFormat="1" applyFont="1" applyFill="1" applyBorder="1" applyAlignment="1">
      <x:alignment vertical="top" wrapText="1"/>
    </x:xf>
    <x:xf numFmtId="0" fontId="0" fillId="18" borderId="10" xfId="0" applyNumberFormat="1" applyFont="1" applyFill="1" applyBorder="1"/>
    <x:xf numFmtId="200" fontId="12" fillId="6" borderId="10" xfId="0" applyNumberFormat="1" applyFont="1" applyFill="1" applyBorder="1" applyAlignment="1">
      <x:alignment horizontal="center" vertical="top" wrapText="1"/>
    </x:xf>
    <x:xf numFmtId="0" fontId="12" fillId="0" borderId="10" xfId="0" applyNumberFormat="1" applyFont="1" applyFill="1" applyBorder="1"/>
    <x:xf numFmtId="0" fontId="12" fillId="0" borderId="1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horizontal="left"/>
    </x:xf>
    <x:xf numFmtId="0" fontId="1" fillId="19" borderId="0" xfId="0" applyNumberFormat="1" applyFont="1" applyFill="1" applyBorder="1" applyAlignment="1">
      <x:alignment horizontal="left" vertical="center"/>
    </x:xf>
    <x:xf numFmtId="0" fontId="4" fillId="20" borderId="0" xfId="0" applyNumberFormat="1" applyFont="1" applyFill="1" applyBorder="1"/>
    <x:xf numFmtId="0" fontId="13" fillId="20" borderId="0" xfId="0" applyNumberFormat="1" applyFont="1" applyFill="1" applyBorder="1"/>
    <x:xf numFmtId="0" fontId="13" fillId="20" borderId="11" xfId="0" applyNumberFormat="1" applyFont="1" applyFill="1" applyBorder="1"/>
    <x:xf numFmtId="0" fontId="13" fillId="20" borderId="11" xfId="0" applyNumberFormat="1" applyFont="1" applyFill="1" applyBorder="1" applyAlignment="1">
      <x:alignment wrapText="1"/>
    </x:xf>
    <x:xf numFmtId="0" fontId="13" fillId="20" borderId="11" xfId="0" applyNumberFormat="1" applyFont="1" applyFill="1" applyBorder="1" applyAlignment="1">
      <x:alignment vertical="center" wrapText="1"/>
    </x:xf>
    <x:xf numFmtId="0" fontId="14" fillId="20" borderId="11" xfId="0" applyNumberFormat="1" applyFont="1" applyFill="1" applyBorder="1" applyAlignment="1">
      <x:alignment vertical="center" wrapText="1"/>
    </x:xf>
    <x:xf numFmtId="0" fontId="4" fillId="21" borderId="0" xfId="0" applyNumberFormat="1" applyFont="1" applyFill="1" applyBorder="1"/>
    <x:xf numFmtId="0" fontId="15" fillId="21" borderId="0" xfId="0" applyNumberFormat="1" applyFont="1" applyFill="1" applyBorder="1"/>
    <x:xf numFmtId="0" fontId="15" fillId="21" borderId="0" xfId="0" applyNumberFormat="1" applyFont="1" applyFill="1" applyBorder="1" applyAlignment="1">
      <x:alignment wrapText="1"/>
    </x:xf>
    <x:xf numFmtId="0" fontId="15" fillId="21" borderId="0" xfId="0" applyNumberFormat="1" applyFont="1" applyFill="1" applyBorder="1" applyAlignment="1">
      <x:alignment vertical="center" wrapText="1"/>
    </x:xf>
    <x:xf numFmtId="0" fontId="16" fillId="20" borderId="0" xfId="0" applyNumberFormat="1" applyFont="1" applyFill="1" applyBorder="1"/>
    <x:xf numFmtId="0" fontId="16" fillId="20" borderId="11" xfId="0" applyNumberFormat="1" applyFont="1" applyFill="1" applyBorder="1"/>
    <x:xf numFmtId="0" fontId="16" fillId="20" borderId="11" xfId="0" applyNumberFormat="1" applyFont="1" applyFill="1" applyBorder="1" applyAlignment="1">
      <x:alignment horizontal="center"/>
    </x:xf>
    <x:xf numFmtId="0" fontId="16" fillId="20" borderId="11" xfId="0" applyNumberFormat="1" applyFont="1" applyFill="1" applyBorder="1" applyAlignment="1">
      <x:alignment horizontal="center" vertical="center"/>
    </x:xf>
    <x:xf numFmtId="0" fontId="4" fillId="22" borderId="0" xfId="0" applyNumberFormat="1" applyFont="1" applyFill="1" applyBorder="1"/>
    <x:xf numFmtId="0" fontId="16" fillId="22" borderId="0" xfId="0" applyNumberFormat="1" applyFont="1" applyFill="1" applyBorder="1"/>
    <x:xf numFmtId="0" fontId="16" fillId="22" borderId="11" xfId="0" applyNumberFormat="1" applyFont="1" applyFill="1" applyBorder="1"/>
    <x:xf numFmtId="0" fontId="16" fillId="22" borderId="11" xfId="0" applyNumberFormat="1" applyFont="1" applyFill="1" applyBorder="1" applyAlignment="1">
      <x:alignment horizontal="center"/>
    </x:xf>
    <x:xf numFmtId="0" fontId="16" fillId="22" borderId="11" xfId="0" applyNumberFormat="1" applyFont="1" applyFill="1" applyBorder="1" applyAlignment="1">
      <x:alignment horizontal="center" vertical="center"/>
    </x:xf>
    <x:xf numFmtId="0" fontId="4" fillId="23" borderId="0" xfId="0" applyNumberFormat="1" applyFont="1" applyFill="1" applyBorder="1"/>
    <x:xf numFmtId="0" fontId="17" fillId="23" borderId="0" xfId="0" applyNumberFormat="1" applyFont="1" applyFill="1" applyBorder="1"/>
    <x:xf numFmtId="0" fontId="17" fillId="23" borderId="12" xfId="0" applyNumberFormat="1" applyFont="1" applyFill="1" applyBorder="1"/>
    <x:xf numFmtId="0" fontId="17" fillId="23" borderId="12" xfId="0" applyNumberFormat="1" applyFont="1" applyFill="1" applyBorder="1" applyAlignment="1">
      <x:alignment wrapText="1"/>
    </x:xf>
    <x:xf numFmtId="0" fontId="17" fillId="23" borderId="12" xfId="0" applyNumberFormat="1" applyFont="1" applyFill="1" applyBorder="1" applyAlignment="1">
      <x:alignment vertical="center" wrapText="1"/>
    </x:xf>
    <x:xf numFmtId="0" fontId="4" fillId="24" borderId="0" xfId="0" applyNumberFormat="1" applyFont="1" applyFill="1" applyBorder="1"/>
    <x:xf numFmtId="0" fontId="18" fillId="24" borderId="0" xfId="0" applyNumberFormat="1" applyFont="1" applyFill="1" applyBorder="1"/>
    <x:xf numFmtId="0" fontId="18" fillId="24" borderId="13" xfId="0" applyNumberFormat="1" applyFont="1" applyFill="1" applyBorder="1"/>
    <x:xf numFmtId="0" fontId="18" fillId="24" borderId="13" xfId="0" applyNumberFormat="1" applyFont="1" applyFill="1" applyBorder="1" applyAlignment="1">
      <x:alignment wrapText="1"/>
    </x:xf>
    <x:xf numFmtId="0" fontId="18" fillId="24" borderId="13" xfId="0" applyNumberFormat="1" applyFont="1" applyFill="1" applyBorder="1" applyAlignment="1">
      <x:alignment horizontal="center" wrapText="1"/>
    </x:xf>
    <x:xf numFmtId="0" fontId="18" fillId="24" borderId="13" xfId="0" applyNumberFormat="1" applyFont="1" applyFill="1" applyBorder="1" applyAlignment="1">
      <x:alignment horizontal="center" vertical="center" wrapText="1"/>
    </x:xf>
    <x:xf numFmtId="0" fontId="4" fillId="25" borderId="0" xfId="0" applyNumberFormat="1" applyFont="1" applyFill="1" applyBorder="1"/>
    <x:xf numFmtId="0" fontId="4" fillId="25" borderId="14" xfId="0" applyNumberFormat="1" applyFont="1" applyFill="1" applyBorder="1"/>
    <x:xf numFmtId="0" fontId="4" fillId="25" borderId="14" xfId="0" applyNumberFormat="1" applyFont="1" applyFill="1" applyBorder="1" applyAlignment="1">
      <x:alignment wrapText="1"/>
    </x:xf>
    <x:xf numFmtId="0" fontId="4" fillId="25" borderId="14" xfId="0" applyNumberFormat="1" applyFont="1" applyFill="1" applyBorder="1" applyAlignment="1">
      <x:alignment vertical="top" wrapText="1"/>
    </x:xf>
    <x:xf numFmtId="0" fontId="4" fillId="22" borderId="14" xfId="0" applyNumberFormat="1" applyFont="1" applyFill="1" applyBorder="1"/>
    <x:xf numFmtId="0" fontId="4" fillId="22" borderId="14" xfId="0" applyNumberFormat="1" applyFont="1" applyFill="1" applyBorder="1" applyAlignment="1">
      <x:alignment wrapText="1"/>
    </x:xf>
    <x:xf numFmtId="0" fontId="4" fillId="22" borderId="14" xfId="0" applyNumberFormat="1" applyFont="1" applyFill="1" applyBorder="1" applyAlignment="1">
      <x:alignment vertical="top" wrapText="1"/>
    </x:xf>
    <x:xf numFmtId="0" fontId="4" fillId="25" borderId="14" xfId="0" applyNumberFormat="1" applyFont="1" applyFill="1" applyBorder="1" applyAlignment="1">
      <x:alignment horizontal="center" vertical="top" wrapText="1"/>
    </x:xf>
    <x:xf numFmtId="0" fontId="4" fillId="22" borderId="14" xfId="0" applyNumberFormat="1" applyFont="1" applyFill="1" applyBorder="1" applyAlignment="1">
      <x:alignment horizontal="center" vertical="top" wrapText="1"/>
    </x:xf>
    <x:xf numFmtId="202" fontId="13" fillId="20" borderId="11" xfId="0" applyNumberFormat="1" applyFont="1" applyFill="1" applyBorder="1" applyAlignment="1">
      <x:alignment vertical="center" wrapText="1"/>
    </x:xf>
    <x:xf numFmtId="202" fontId="4" fillId="25" borderId="14" xfId="0" applyNumberFormat="1" applyFont="1" applyFill="1" applyBorder="1" applyAlignment="1">
      <x:alignment vertical="top" wrapText="1"/>
    </x:xf>
    <x:xf numFmtId="202" fontId="4" fillId="22" borderId="14" xfId="0" applyNumberFormat="1" applyFont="1" applyFill="1" applyBorder="1" applyAlignment="1">
      <x:alignment vertical="top" wrapText="1"/>
    </x:xf>
    <x:xf numFmtId="203" fontId="16" fillId="22" borderId="11" xfId="0" applyNumberFormat="1" applyFont="1" applyFill="1" applyBorder="1" applyAlignment="1">
      <x:alignment horizontal="center" vertical="center"/>
    </x:xf>
    <x:xf numFmtId="201" fontId="11" fillId="6" borderId="0" xfId="0" applyNumberFormat="1" applyFont="1" applyFill="1" applyBorder="1" applyAlignment="1">
      <x:alignment horizontal="center" vertical="top" wrapText="1"/>
    </x:xf>
    <x:xf numFmtId="0" fontId="10" fillId="6" borderId="1" xfId="0" applyNumberFormat="1" applyFont="1" applyFill="1" applyBorder="1" applyAlignment="1">
      <x:alignment horizontal="center" vertical="top" wrapText="1"/>
    </x:xf>
    <x:xf numFmtId="0" fontId="11" fillId="6" borderId="0" xfId="0" applyNumberFormat="1" applyFont="1" applyFill="1" applyBorder="1" applyAlignment="1">
      <x:alignment horizontal="center" vertical="top" wrapText="1"/>
    </x:xf>
    <x:xf numFmtId="0" fontId="11" fillId="6" borderId="0" xfId="0" applyNumberFormat="1" applyFont="1" applyFill="1" applyBorder="1" applyAlignment="1">
      <x:alignment vertical="top" wrapText="1"/>
    </x:xf>
    <x:xf numFmtId="0" fontId="3" fillId="26" borderId="1" xfId="0" applyNumberFormat="1" applyFont="1" applyFill="1" applyBorder="1" applyAlignment="1">
      <x:alignment horizontal="center" vertical="center" wrapText="1"/>
    </x:xf>
    <x:xf numFmtId="0" fontId="10" fillId="27" borderId="1" xfId="0" applyNumberFormat="1" applyFont="1" applyFill="1" applyBorder="1" applyAlignment="1">
      <x:alignment horizontal="center" vertical="top" wrapText="1"/>
    </x:xf>
    <x:xf numFmtId="0" fontId="11" fillId="27" borderId="1" xfId="0" applyNumberFormat="1" applyFont="1" applyFill="1" applyBorder="1" applyAlignment="1">
      <x:alignment horizontal="center" vertical="top" wrapText="1"/>
    </x:xf>
    <x:xf numFmtId="201" fontId="11" fillId="27" borderId="1" xfId="0" applyNumberFormat="1" applyFont="1" applyFill="1" applyBorder="1" applyAlignment="1">
      <x:alignment horizontal="center" vertical="top" wrapText="1"/>
    </x:xf>
    <x:xf numFmtId="0" fontId="11" fillId="27" borderId="1" xfId="0" applyNumberFormat="1" applyFont="1" applyFill="1" applyBorder="1" applyAlignment="1">
      <x:alignment vertical="top" wrapText="1"/>
    </x:xf>
    <x:xf numFmtId="0" fontId="11" fillId="28" borderId="1" xfId="0" applyNumberFormat="1" applyFont="1" applyFill="1" applyBorder="1" applyAlignment="1">
      <x:alignment horizontal="center" vertical="top" wrapText="1"/>
    </x:xf>
    <x:xf numFmtId="201" fontId="11" fillId="28" borderId="1" xfId="0" applyNumberFormat="1" applyFont="1" applyFill="1" applyBorder="1" applyAlignment="1">
      <x:alignment horizontal="center" vertical="top" wrapText="1"/>
    </x:xf>
    <x:xf numFmtId="0" fontId="11" fillId="28" borderId="1" xfId="0" applyNumberFormat="1" applyFont="1" applyFill="1" applyBorder="1" applyAlignment="1">
      <x:alignment vertical="top" wrapText="1"/>
    </x:xf>
    <x:xf numFmtId="0" fontId="10" fillId="28" borderId="1" xfId="0" applyNumberFormat="1" applyFont="1" applyFill="1" applyBorder="1" applyAlignment="1">
      <x:alignment horizontal="center" vertical="top" wrapText="1"/>
    </x:xf>
    <x:xf numFmtId="0" fontId="11" fillId="28" borderId="0" xfId="0" applyNumberFormat="1" applyFont="1" applyFill="1" applyBorder="1" applyAlignment="1">
      <x:alignment horizontal="center" vertical="top" wrapText="1"/>
    </x:xf>
    <x:xf numFmtId="201" fontId="11" fillId="28" borderId="0" xfId="0" applyNumberFormat="1" applyFont="1" applyFill="1" applyBorder="1" applyAlignment="1">
      <x:alignment horizontal="center" vertical="top" wrapText="1"/>
    </x:xf>
    <x:xf numFmtId="0" fontId="11" fillId="28" borderId="0" xfId="0" applyNumberFormat="1" applyFont="1" applyFill="1" applyBorder="1" applyAlignment="1">
      <x:alignment vertical="top" wrapText="1"/>
    </x:xf>
    <x:xf numFmtId="0" fontId="11" fillId="27" borderId="0" xfId="0" applyNumberFormat="1" applyFont="1" applyFill="1" applyBorder="1" applyAlignment="1">
      <x:alignment horizontal="center" vertical="top" wrapText="1"/>
    </x:xf>
    <x:xf numFmtId="201" fontId="11" fillId="27" borderId="0" xfId="0" applyNumberFormat="1" applyFont="1" applyFill="1" applyBorder="1" applyAlignment="1">
      <x:alignment horizontal="center" vertical="top" wrapText="1"/>
    </x:xf>
    <x:xf numFmtId="0" fontId="11" fillId="27" borderId="0" xfId="0" applyNumberFormat="1" applyFont="1" applyFill="1" applyBorder="1" applyAlignment="1">
      <x:alignment vertical="top" wrapText="1"/>
    </x:xf>
    <x:xf numFmtId="0" fontId="11" fillId="29" borderId="1" xfId="0" applyNumberFormat="1" applyFont="1" applyFill="1" applyBorder="1" applyAlignment="1">
      <x:alignment horizontal="center" vertical="top" wrapText="1"/>
    </x:xf>
    <x:xf numFmtId="201" fontId="11" fillId="29" borderId="1" xfId="0" applyNumberFormat="1" applyFont="1" applyFill="1" applyBorder="1" applyAlignment="1">
      <x:alignment horizontal="center" vertical="top" wrapText="1"/>
    </x:xf>
    <x:xf numFmtId="0" fontId="11" fillId="29" borderId="1" xfId="0" applyNumberFormat="1" applyFont="1" applyFill="1" applyBorder="1" applyAlignment="1">
      <x:alignment vertical="top" wrapText="1"/>
    </x:xf>
    <x:xf numFmtId="0" fontId="11" fillId="13" borderId="0" xfId="0" applyNumberFormat="1" applyFont="1" applyFill="1" applyBorder="1" applyAlignment="1">
      <x:alignment horizontal="center" vertical="top" wrapText="1"/>
    </x:xf>
    <x:xf numFmtId="0" fontId="11" fillId="13" borderId="0" xfId="0" applyNumberFormat="1" applyFont="1" applyFill="1" applyBorder="1" applyAlignment="1">
      <x:alignment vertical="top" wrapText="1"/>
    </x:xf>
    <x:xf numFmtId="0" fontId="11" fillId="30" borderId="1" xfId="0" applyNumberFormat="1" applyFont="1" applyFill="1" applyBorder="1" applyAlignment="1">
      <x:alignment horizontal="center" vertical="top" wrapText="1"/>
    </x:xf>
    <x:xf numFmtId="0" fontId="11" fillId="30" borderId="1" xfId="0" applyNumberFormat="1" applyFont="1" applyFill="1" applyBorder="1" applyAlignment="1">
      <x:alignment vertical="top" wrapText="1"/>
    </x:xf>
    <x:xf numFmtId="0" fontId="11" fillId="30" borderId="0" xfId="0" applyNumberFormat="1" applyFont="1" applyFill="1" applyBorder="1" applyAlignment="1">
      <x:alignment horizontal="center" vertical="top" wrapText="1"/>
    </x:xf>
    <x:xf numFmtId="0" fontId="11" fillId="30" borderId="0" xfId="0" applyNumberFormat="1" applyFont="1" applyFill="1" applyBorder="1" applyAlignment="1">
      <x:alignment vertical="top" wrapText="1"/>
    </x:xf>
    <x:xf numFmtId="200" fontId="11" fillId="27" borderId="1" xfId="0" applyNumberFormat="1" applyFont="1" applyFill="1" applyBorder="1" applyAlignment="1">
      <x:alignment horizontal="center" vertical="top" wrapText="1"/>
    </x:xf>
    <x:xf numFmtId="200" fontId="11" fillId="28" borderId="1" xfId="0" applyNumberFormat="1" applyFont="1" applyFill="1" applyBorder="1" applyAlignment="1">
      <x:alignment horizontal="center" vertical="top" wrapText="1"/>
    </x:xf>
    <x:xf numFmtId="0" fontId="1" fillId="31" borderId="0" xfId="0" applyNumberFormat="1" applyFont="1" applyFill="1" applyBorder="1" applyAlignment="1">
      <x:alignment horizontal="left" vertical="center"/>
    </x:xf>
    <x:xf numFmtId="0" fontId="14" fillId="27" borderId="11" xfId="0" applyNumberFormat="1" applyFont="1" applyFill="1" applyBorder="1" applyAlignment="1">
      <x:alignment vertical="center" wrapText="1"/>
    </x:xf>
    <x:xf numFmtId="202" fontId="13" fillId="27" borderId="11" xfId="0" applyNumberFormat="1" applyFont="1" applyFill="1" applyBorder="1" applyAlignment="1">
      <x:alignment vertical="center" wrapText="1"/>
    </x:xf>
    <x:xf numFmtId="0" fontId="13" fillId="27" borderId="11" xfId="0" applyNumberFormat="1" applyFont="1" applyFill="1" applyBorder="1" applyAlignment="1">
      <x:alignment vertical="center" wrapText="1"/>
    </x:xf>
    <x:xf numFmtId="0" fontId="15" fillId="32" borderId="0" xfId="0" applyNumberFormat="1" applyFont="1" applyFill="1" applyBorder="1" applyAlignment="1">
      <x:alignment vertical="center" wrapText="1"/>
    </x:xf>
    <x:xf numFmtId="0" fontId="16" fillId="27" borderId="11" xfId="0" applyNumberFormat="1" applyFont="1" applyFill="1" applyBorder="1" applyAlignment="1">
      <x:alignment horizontal="center" vertical="center"/>
    </x:xf>
    <x:xf numFmtId="0" fontId="16" fillId="28" borderId="11" xfId="0" applyNumberFormat="1" applyFont="1" applyFill="1" applyBorder="1" applyAlignment="1">
      <x:alignment horizontal="center" vertical="center"/>
    </x:xf>
    <x:xf numFmtId="203" fontId="16" fillId="28" borderId="11" xfId="0" applyNumberFormat="1" applyFont="1" applyFill="1" applyBorder="1" applyAlignment="1">
      <x:alignment horizontal="center" vertical="center"/>
    </x:xf>
    <x:xf numFmtId="0" fontId="17" fillId="33" borderId="12" xfId="0" applyNumberFormat="1" applyFont="1" applyFill="1" applyBorder="1" applyAlignment="1">
      <x:alignment vertical="center" wrapText="1"/>
    </x:xf>
    <x:xf numFmtId="0" fontId="18" fillId="34" borderId="13" xfId="0" applyNumberFormat="1" applyFont="1" applyFill="1" applyBorder="1" applyAlignment="1">
      <x:alignment horizontal="center" vertical="center" wrapText="1"/>
    </x:xf>
    <x:xf numFmtId="0" fontId="4" fillId="35" borderId="14" xfId="0" applyNumberFormat="1" applyFont="1" applyFill="1" applyBorder="1" applyAlignment="1">
      <x:alignment vertical="top" wrapText="1"/>
    </x:xf>
    <x:xf numFmtId="202" fontId="4" fillId="35" borderId="14" xfId="0" applyNumberFormat="1" applyFont="1" applyFill="1" applyBorder="1" applyAlignment="1">
      <x:alignment vertical="top" wrapText="1"/>
    </x:xf>
    <x:xf numFmtId="0" fontId="4" fillId="35" borderId="14" xfId="0" applyNumberFormat="1" applyFont="1" applyFill="1" applyBorder="1" applyAlignment="1">
      <x:alignment horizontal="center" vertical="top" wrapText="1"/>
    </x:xf>
    <x:xf numFmtId="0" fontId="4" fillId="28" borderId="14" xfId="0" applyNumberFormat="1" applyFont="1" applyFill="1" applyBorder="1" applyAlignment="1">
      <x:alignment vertical="top" wrapText="1"/>
    </x:xf>
    <x:xf numFmtId="202" fontId="4" fillId="28" borderId="14" xfId="0" applyNumberFormat="1" applyFont="1" applyFill="1" applyBorder="1" applyAlignment="1">
      <x:alignment vertical="top" wrapText="1"/>
    </x:xf>
    <x:xf numFmtId="0" fontId="4" fillId="28" borderId="14" xfId="0" applyNumberFormat="1" applyFont="1" applyFill="1" applyBorder="1" applyAlignment="1">
      <x:alignment horizontal="center" vertical="top" wrapText="1"/>
    </x:xf>
    <x:xf numFmtId="0" fontId="11" fillId="35" borderId="14" xfId="0" applyNumberFormat="1" applyFont="1" applyFill="1" applyBorder="1" applyAlignment="1">
      <x:alignment vertical="top" wrapText="1"/>
    </x:xf>
    <x:xf numFmtId="202" fontId="11" fillId="35" borderId="14" xfId="0" applyNumberFormat="1" applyFont="1" applyFill="1" applyBorder="1" applyAlignment="1">
      <x:alignment vertical="top" wrapText="1"/>
    </x:xf>
    <x:xf numFmtId="0" fontId="11" fillId="35" borderId="14" xfId="0" applyNumberFormat="1" applyFont="1" applyFill="1" applyBorder="1" applyAlignment="1">
      <x:alignment horizontal="center" vertical="top" wrapText="1"/>
    </x:xf>
    <x:xf numFmtId="0" fontId="11" fillId="28" borderId="14" xfId="0" applyNumberFormat="1" applyFont="1" applyFill="1" applyBorder="1" applyAlignment="1">
      <x:alignment vertical="top" wrapText="1"/>
    </x:xf>
    <x:xf numFmtId="202" fontId="11" fillId="28" borderId="14" xfId="0" applyNumberFormat="1" applyFont="1" applyFill="1" applyBorder="1" applyAlignment="1">
      <x:alignment vertical="top" wrapText="1"/>
    </x:xf>
    <x:xf numFmtId="0" fontId="11" fillId="28" borderId="14" xfId="0" applyNumberFormat="1" applyFont="1" applyFill="1" applyBorder="1" applyAlignment="1">
      <x:alignment horizontal="center" vertical="top" wrapText="1"/>
    </x:xf>
    <x:xf numFmtId="0" fontId="0" fillId="31" borderId="0" xfId="0" applyNumberFormat="1" applyFont="1" applyFill="1" applyBorder="1"/>
    <x:xf numFmtId="0" fontId="1" fillId="31" borderId="0" xfId="0" applyNumberFormat="1" applyFont="1" applyFill="1" applyBorder="1"/>
    <x:xf numFmtId="0" fontId="1" fillId="31" borderId="0" xfId="0" applyNumberFormat="1" applyFont="1" applyFill="1" applyBorder="1" applyAlignment="1">
      <x:alignment vertical="center"/>
    </x:xf>
    <x:xf numFmtId="0" fontId="0" fillId="27" borderId="0" xfId="0" applyNumberFormat="1" applyFont="1" applyFill="1" applyBorder="1"/>
    <x:xf numFmtId="0" fontId="13" fillId="27" borderId="0" xfId="0" applyNumberFormat="1" applyFont="1" applyFill="1" applyBorder="1"/>
    <x:xf numFmtId="0" fontId="13" fillId="27" borderId="0" xfId="0" applyNumberFormat="1" applyFont="1" applyFill="1" applyBorder="1" applyAlignment="1">
      <x:alignment wrapText="1"/>
    </x:xf>
    <x:xf numFmtId="0" fontId="13" fillId="27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26" borderId="0" xfId="0" applyNumberFormat="1" applyFont="1" applyFill="1" applyBorder="1" applyAlignment="1">
      <x:alignment horizontal="center" vertical="center" wrapText="1"/>
    </x:xf>
    <x:xf numFmtId="0" fontId="11" fillId="35" borderId="0" xfId="0" applyNumberFormat="1" applyFont="1" applyFill="1" applyBorder="1" applyAlignment="1">
      <x:alignment horizontal="center" vertical="top" wrapText="1"/>
    </x:xf>
    <x:xf numFmtId="0" fontId="11" fillId="35" borderId="0" xfId="0" applyNumberFormat="1" applyFont="1" applyFill="1" applyBorder="1" applyAlignment="1">
      <x:alignment vertical="top" wrapText="1"/>
    </x:xf>
    <x:xf numFmtId="0" fontId="4" fillId="36" borderId="10" xfId="0" applyNumberFormat="1" applyFont="1" applyFill="1" applyBorder="1" applyAlignment="1">
      <x:alignment vertical="top" wrapText="1"/>
    </x:xf>
    <x:xf numFmtId="0" fontId="0" fillId="36" borderId="10" xfId="0" applyNumberFormat="1" applyFont="1" applyFill="1" applyBorder="1"/>
    <x:xf numFmtId="0" fontId="10" fillId="14" borderId="15" xfId="0" applyNumberFormat="1" applyFont="1" applyFill="1" applyBorder="1" applyAlignment="1">
      <x:alignment horizontal="center" vertical="top" wrapText="1"/>
    </x:xf>
    <x:xf numFmtId="0" fontId="11" fillId="14" borderId="16" xfId="0" applyNumberFormat="1" applyFont="1" applyFill="1" applyBorder="1" applyAlignment="1">
      <x:alignment horizontal="center" vertical="top" wrapText="1"/>
    </x:xf>
    <x:xf numFmtId="201" fontId="11" fillId="14" borderId="16" xfId="0" applyNumberFormat="1" applyFont="1" applyFill="1" applyBorder="1" applyAlignment="1">
      <x:alignment horizontal="center" vertical="top" wrapText="1"/>
    </x:xf>
    <x:xf numFmtId="0" fontId="11" fillId="14" borderId="16" xfId="0" applyNumberFormat="1" applyFont="1" applyFill="1" applyBorder="1" applyAlignment="1">
      <x:alignment vertical="top" wrapText="1"/>
    </x:xf>
    <x:xf numFmtId="0" fontId="11" fillId="14" borderId="17" xfId="0" applyNumberFormat="1" applyFont="1" applyFill="1" applyBorder="1" applyAlignment="1">
      <x:alignment vertical="top" wrapText="1"/>
    </x:xf>
    <x:xf numFmtId="0" fontId="11" fillId="6" borderId="18" xfId="0" applyNumberFormat="1" applyFont="1" applyFill="1" applyBorder="1" applyAlignment="1">
      <x:alignment horizontal="center" vertical="top" wrapText="1"/>
    </x:xf>
    <x:xf numFmtId="0" fontId="11" fillId="6" borderId="19" xfId="0" applyNumberFormat="1" applyFont="1" applyFill="1" applyBorder="1" applyAlignment="1">
      <x:alignment horizontal="center" vertical="top" wrapText="1"/>
    </x:xf>
    <x:xf numFmtId="201" fontId="11" fillId="6" borderId="19" xfId="0" applyNumberFormat="1" applyFont="1" applyFill="1" applyBorder="1" applyAlignment="1">
      <x:alignment horizontal="center" vertical="top" wrapText="1"/>
    </x:xf>
    <x:xf numFmtId="0" fontId="11" fillId="6" borderId="19" xfId="0" applyNumberFormat="1" applyFont="1" applyFill="1" applyBorder="1" applyAlignment="1">
      <x:alignment vertical="top" wrapText="1"/>
    </x:xf>
    <x:xf numFmtId="0" fontId="11" fillId="6" borderId="20" xfId="0" applyNumberFormat="1" applyFont="1" applyFill="1" applyBorder="1" applyAlignment="1">
      <x:alignment vertical="top" wrapText="1"/>
    </x:xf>
    <x:xf numFmtId="0" fontId="10" fillId="14" borderId="18" xfId="0" applyNumberFormat="1" applyFont="1" applyFill="1" applyBorder="1" applyAlignment="1">
      <x:alignment horizontal="center" vertical="top" wrapText="1"/>
    </x:xf>
    <x:xf numFmtId="0" fontId="11" fillId="14" borderId="19" xfId="0" applyNumberFormat="1" applyFont="1" applyFill="1" applyBorder="1" applyAlignment="1">
      <x:alignment horizontal="center" vertical="top" wrapText="1"/>
    </x:xf>
    <x:xf numFmtId="201" fontId="11" fillId="14" borderId="19" xfId="0" applyNumberFormat="1" applyFont="1" applyFill="1" applyBorder="1" applyAlignment="1">
      <x:alignment horizontal="center" vertical="top" wrapText="1"/>
    </x:xf>
    <x:xf numFmtId="0" fontId="11" fillId="14" borderId="19" xfId="0" applyNumberFormat="1" applyFont="1" applyFill="1" applyBorder="1" applyAlignment="1">
      <x:alignment vertical="top" wrapText="1"/>
    </x:xf>
    <x:xf numFmtId="0" fontId="11" fillId="14" borderId="20" xfId="0" applyNumberFormat="1" applyFont="1" applyFill="1" applyBorder="1" applyAlignment="1">
      <x:alignment vertical="top" wrapText="1"/>
    </x:xf>
    <x:xf numFmtId="0" fontId="10" fillId="6" borderId="18" xfId="0" applyNumberFormat="1" applyFont="1" applyFill="1" applyBorder="1" applyAlignment="1">
      <x:alignment horizontal="center" vertical="top" wrapText="1"/>
    </x:xf>
    <x:xf numFmtId="0" fontId="11" fillId="14" borderId="18" xfId="0" applyNumberFormat="1" applyFont="1" applyFill="1" applyBorder="1" applyAlignment="1">
      <x:alignment horizontal="center" vertical="top" wrapText="1"/>
    </x:xf>
    <x:xf numFmtId="0" fontId="11" fillId="6" borderId="21" xfId="0" applyNumberFormat="1" applyFont="1" applyFill="1" applyBorder="1" applyAlignment="1">
      <x:alignment horizontal="center" vertical="top" wrapText="1"/>
    </x:xf>
    <x:xf numFmtId="0" fontId="11" fillId="6" borderId="22" xfId="0" applyNumberFormat="1" applyFont="1" applyFill="1" applyBorder="1" applyAlignment="1">
      <x:alignment horizontal="center" vertical="top" wrapText="1"/>
    </x:xf>
    <x:xf numFmtId="201" fontId="11" fillId="6" borderId="22" xfId="0" applyNumberFormat="1" applyFont="1" applyFill="1" applyBorder="1" applyAlignment="1">
      <x:alignment horizontal="center" vertical="top" wrapText="1"/>
    </x:xf>
    <x:xf numFmtId="0" fontId="11" fillId="6" borderId="22" xfId="0" applyNumberFormat="1" applyFont="1" applyFill="1" applyBorder="1" applyAlignment="1">
      <x:alignment vertical="top" wrapText="1"/>
    </x:xf>
    <x:xf numFmtId="0" fontId="11" fillId="6" borderId="23" xfId="0" applyNumberFormat="1" applyFont="1" applyFill="1" applyBorder="1" applyAlignment="1">
      <x:alignment vertical="top" wrapText="1"/>
    </x:xf>
    <x:xf numFmtId="0" fontId="3" fillId="37" borderId="1" xfId="0" applyNumberFormat="1" applyFont="1" applyFill="1" applyBorder="1" applyAlignment="1">
      <x:alignment horizontal="center" vertical="center" wrapText="1"/>
    </x:xf>
    <x:xf numFmtId="0" fontId="10" fillId="38" borderId="15" xfId="0" applyNumberFormat="1" applyFont="1" applyFill="1" applyBorder="1" applyAlignment="1">
      <x:alignment horizontal="center" vertical="top" wrapText="1"/>
    </x:xf>
    <x:xf numFmtId="0" fontId="11" fillId="38" borderId="16" xfId="0" applyNumberFormat="1" applyFont="1" applyFill="1" applyBorder="1" applyAlignment="1">
      <x:alignment horizontal="center" vertical="top" wrapText="1"/>
    </x:xf>
    <x:xf numFmtId="201" fontId="11" fillId="38" borderId="16" xfId="0" applyNumberFormat="1" applyFont="1" applyFill="1" applyBorder="1" applyAlignment="1">
      <x:alignment horizontal="center" vertical="top" wrapText="1"/>
    </x:xf>
    <x:xf numFmtId="0" fontId="11" fillId="38" borderId="16" xfId="0" applyNumberFormat="1" applyFont="1" applyFill="1" applyBorder="1" applyAlignment="1">
      <x:alignment vertical="top" wrapText="1"/>
    </x:xf>
    <x:xf numFmtId="0" fontId="11" fillId="38" borderId="17" xfId="0" applyNumberFormat="1" applyFont="1" applyFill="1" applyBorder="1" applyAlignment="1">
      <x:alignment vertical="top" wrapText="1"/>
    </x:xf>
    <x:xf numFmtId="0" fontId="11" fillId="39" borderId="18" xfId="0" applyNumberFormat="1" applyFont="1" applyFill="1" applyBorder="1" applyAlignment="1">
      <x:alignment horizontal="center" vertical="top" wrapText="1"/>
    </x:xf>
    <x:xf numFmtId="0" fontId="11" fillId="39" borderId="19" xfId="0" applyNumberFormat="1" applyFont="1" applyFill="1" applyBorder="1" applyAlignment="1">
      <x:alignment horizontal="center" vertical="top" wrapText="1"/>
    </x:xf>
    <x:xf numFmtId="201" fontId="11" fillId="39" borderId="19" xfId="0" applyNumberFormat="1" applyFont="1" applyFill="1" applyBorder="1" applyAlignment="1">
      <x:alignment horizontal="center" vertical="top" wrapText="1"/>
    </x:xf>
    <x:xf numFmtId="0" fontId="11" fillId="39" borderId="19" xfId="0" applyNumberFormat="1" applyFont="1" applyFill="1" applyBorder="1" applyAlignment="1">
      <x:alignment vertical="top" wrapText="1"/>
    </x:xf>
    <x:xf numFmtId="0" fontId="11" fillId="39" borderId="20" xfId="0" applyNumberFormat="1" applyFont="1" applyFill="1" applyBorder="1" applyAlignment="1">
      <x:alignment vertical="top" wrapText="1"/>
    </x:xf>
    <x:xf numFmtId="0" fontId="10" fillId="38" borderId="18" xfId="0" applyNumberFormat="1" applyFont="1" applyFill="1" applyBorder="1" applyAlignment="1">
      <x:alignment horizontal="center" vertical="top" wrapText="1"/>
    </x:xf>
    <x:xf numFmtId="0" fontId="11" fillId="38" borderId="19" xfId="0" applyNumberFormat="1" applyFont="1" applyFill="1" applyBorder="1" applyAlignment="1">
      <x:alignment horizontal="center" vertical="top" wrapText="1"/>
    </x:xf>
    <x:xf numFmtId="201" fontId="11" fillId="38" borderId="19" xfId="0" applyNumberFormat="1" applyFont="1" applyFill="1" applyBorder="1" applyAlignment="1">
      <x:alignment horizontal="center" vertical="top" wrapText="1"/>
    </x:xf>
    <x:xf numFmtId="0" fontId="11" fillId="38" borderId="19" xfId="0" applyNumberFormat="1" applyFont="1" applyFill="1" applyBorder="1" applyAlignment="1">
      <x:alignment vertical="top" wrapText="1"/>
    </x:xf>
    <x:xf numFmtId="0" fontId="11" fillId="38" borderId="20" xfId="0" applyNumberFormat="1" applyFont="1" applyFill="1" applyBorder="1" applyAlignment="1">
      <x:alignment vertical="top" wrapText="1"/>
    </x:xf>
    <x:xf numFmtId="0" fontId="10" fillId="39" borderId="18" xfId="0" applyNumberFormat="1" applyFont="1" applyFill="1" applyBorder="1" applyAlignment="1">
      <x:alignment horizontal="center" vertical="top" wrapText="1"/>
    </x:xf>
    <x:xf numFmtId="0" fontId="11" fillId="38" borderId="18" xfId="0" applyNumberFormat="1" applyFont="1" applyFill="1" applyBorder="1" applyAlignment="1">
      <x:alignment horizontal="center" vertical="top" wrapText="1"/>
    </x:xf>
    <x:xf numFmtId="0" fontId="11" fillId="39" borderId="21" xfId="0" applyNumberFormat="1" applyFont="1" applyFill="1" applyBorder="1" applyAlignment="1">
      <x:alignment horizontal="center" vertical="top" wrapText="1"/>
    </x:xf>
    <x:xf numFmtId="0" fontId="11" fillId="39" borderId="22" xfId="0" applyNumberFormat="1" applyFont="1" applyFill="1" applyBorder="1" applyAlignment="1">
      <x:alignment horizontal="center" vertical="top" wrapText="1"/>
    </x:xf>
    <x:xf numFmtId="201" fontId="11" fillId="39" borderId="22" xfId="0" applyNumberFormat="1" applyFont="1" applyFill="1" applyBorder="1" applyAlignment="1">
      <x:alignment horizontal="center" vertical="top" wrapText="1"/>
    </x:xf>
    <x:xf numFmtId="0" fontId="11" fillId="39" borderId="22" xfId="0" applyNumberFormat="1" applyFont="1" applyFill="1" applyBorder="1" applyAlignment="1">
      <x:alignment vertical="top" wrapText="1"/>
    </x:xf>
    <x:xf numFmtId="0" fontId="11" fillId="39" borderId="23" xfId="0" applyNumberFormat="1" applyFont="1" applyFill="1" applyBorder="1" applyAlignment="1">
      <x:alignment vertical="top" wrapText="1"/>
    </x:xf>
    <x:xf numFmtId="0" fontId="11" fillId="8" borderId="15" xfId="0" applyNumberFormat="1" applyFont="1" applyFill="1" applyBorder="1" applyAlignment="1">
      <x:alignment horizontal="center" vertical="top" wrapText="1"/>
    </x:xf>
    <x:xf numFmtId="0" fontId="11" fillId="8" borderId="16" xfId="0" applyNumberFormat="1" applyFont="1" applyFill="1" applyBorder="1" applyAlignment="1">
      <x:alignment horizontal="center" vertical="top" wrapText="1"/>
    </x:xf>
    <x:xf numFmtId="0" fontId="11" fillId="8" borderId="16" xfId="0" applyNumberFormat="1" applyFont="1" applyFill="1" applyBorder="1" applyAlignment="1">
      <x:alignment vertical="top" wrapText="1"/>
    </x:xf>
    <x:xf numFmtId="0" fontId="11" fillId="8" borderId="17" xfId="0" applyNumberFormat="1" applyFont="1" applyFill="1" applyBorder="1" applyAlignment="1">
      <x:alignment vertical="top" wrapText="1"/>
    </x:xf>
    <x:xf numFmtId="0" fontId="11" fillId="8" borderId="18" xfId="0" applyNumberFormat="1" applyFont="1" applyFill="1" applyBorder="1" applyAlignment="1">
      <x:alignment horizontal="center" vertical="top" wrapText="1"/>
    </x:xf>
    <x:xf numFmtId="0" fontId="11" fillId="8" borderId="19" xfId="0" applyNumberFormat="1" applyFont="1" applyFill="1" applyBorder="1" applyAlignment="1">
      <x:alignment horizontal="center" vertical="top" wrapText="1"/>
    </x:xf>
    <x:xf numFmtId="0" fontId="11" fillId="8" borderId="19" xfId="0" applyNumberFormat="1" applyFont="1" applyFill="1" applyBorder="1" applyAlignment="1">
      <x:alignment vertical="top" wrapText="1"/>
    </x:xf>
    <x:xf numFmtId="0" fontId="11" fillId="8" borderId="20" xfId="0" applyNumberFormat="1" applyFont="1" applyFill="1" applyBorder="1" applyAlignment="1">
      <x:alignment vertical="top" wrapText="1"/>
    </x:xf>
    <x:xf numFmtId="0" fontId="11" fillId="0" borderId="18" xfId="0" applyNumberFormat="1" applyFont="1" applyFill="1" applyBorder="1" applyAlignment="1">
      <x:alignment horizontal="center" vertical="top" wrapText="1"/>
    </x:xf>
    <x:xf numFmtId="0" fontId="11" fillId="0" borderId="19" xfId="0" applyNumberFormat="1" applyFont="1" applyFill="1" applyBorder="1" applyAlignment="1">
      <x:alignment horizontal="center" vertical="top" wrapText="1"/>
    </x:xf>
    <x:xf numFmtId="0" fontId="11" fillId="0" borderId="19" xfId="0" applyNumberFormat="1" applyFont="1" applyFill="1" applyBorder="1" applyAlignment="1">
      <x:alignment vertical="top" wrapText="1"/>
    </x:xf>
    <x:xf numFmtId="0" fontId="11" fillId="0" borderId="20" xfId="0" applyNumberFormat="1" applyFont="1" applyFill="1" applyBorder="1" applyAlignment="1">
      <x:alignment vertical="top" wrapText="1"/>
    </x:xf>
    <x:xf numFmtId="0" fontId="11" fillId="0" borderId="21" xfId="0" applyNumberFormat="1" applyFont="1" applyFill="1" applyBorder="1" applyAlignment="1">
      <x:alignment horizontal="center" vertical="top" wrapText="1"/>
    </x:xf>
    <x:xf numFmtId="0" fontId="11" fillId="0" borderId="22" xfId="0" applyNumberFormat="1" applyFont="1" applyFill="1" applyBorder="1" applyAlignment="1">
      <x:alignment horizontal="center" vertical="top" wrapText="1"/>
    </x:xf>
    <x:xf numFmtId="0" fontId="11" fillId="0" borderId="22" xfId="0" applyNumberFormat="1" applyFont="1" applyFill="1" applyBorder="1" applyAlignment="1">
      <x:alignment vertical="top" wrapText="1"/>
    </x:xf>
    <x:xf numFmtId="0" fontId="11" fillId="0" borderId="23" xfId="0" applyNumberFormat="1" applyFont="1" applyFill="1" applyBorder="1" applyAlignment="1">
      <x:alignment vertical="top" wrapText="1"/>
    </x:xf>
    <x:xf numFmtId="0" fontId="11" fillId="40" borderId="15" xfId="0" applyNumberFormat="1" applyFont="1" applyFill="1" applyBorder="1" applyAlignment="1">
      <x:alignment horizontal="center" vertical="top" wrapText="1"/>
    </x:xf>
    <x:xf numFmtId="0" fontId="11" fillId="40" borderId="16" xfId="0" applyNumberFormat="1" applyFont="1" applyFill="1" applyBorder="1" applyAlignment="1">
      <x:alignment horizontal="center" vertical="top" wrapText="1"/>
    </x:xf>
    <x:xf numFmtId="0" fontId="11" fillId="40" borderId="16" xfId="0" applyNumberFormat="1" applyFont="1" applyFill="1" applyBorder="1" applyAlignment="1">
      <x:alignment vertical="top" wrapText="1"/>
    </x:xf>
    <x:xf numFmtId="0" fontId="11" fillId="40" borderId="17" xfId="0" applyNumberFormat="1" applyFont="1" applyFill="1" applyBorder="1" applyAlignment="1">
      <x:alignment vertical="top" wrapText="1"/>
    </x:xf>
    <x:xf numFmtId="0" fontId="11" fillId="41" borderId="18" xfId="0" applyNumberFormat="1" applyFont="1" applyFill="1" applyBorder="1" applyAlignment="1">
      <x:alignment horizontal="center" vertical="top" wrapText="1"/>
    </x:xf>
    <x:xf numFmtId="0" fontId="11" fillId="41" borderId="19" xfId="0" applyNumberFormat="1" applyFont="1" applyFill="1" applyBorder="1" applyAlignment="1">
      <x:alignment horizontal="center" vertical="top" wrapText="1"/>
    </x:xf>
    <x:xf numFmtId="0" fontId="11" fillId="41" borderId="19" xfId="0" applyNumberFormat="1" applyFont="1" applyFill="1" applyBorder="1" applyAlignment="1">
      <x:alignment vertical="top" wrapText="1"/>
    </x:xf>
    <x:xf numFmtId="0" fontId="11" fillId="41" borderId="20" xfId="0" applyNumberFormat="1" applyFont="1" applyFill="1" applyBorder="1" applyAlignment="1">
      <x:alignment vertical="top" wrapText="1"/>
    </x:xf>
    <x:xf numFmtId="0" fontId="11" fillId="40" borderId="18" xfId="0" applyNumberFormat="1" applyFont="1" applyFill="1" applyBorder="1" applyAlignment="1">
      <x:alignment horizontal="center" vertical="top" wrapText="1"/>
    </x:xf>
    <x:xf numFmtId="0" fontId="11" fillId="40" borderId="19" xfId="0" applyNumberFormat="1" applyFont="1" applyFill="1" applyBorder="1" applyAlignment="1">
      <x:alignment horizontal="center" vertical="top" wrapText="1"/>
    </x:xf>
    <x:xf numFmtId="0" fontId="11" fillId="40" borderId="19" xfId="0" applyNumberFormat="1" applyFont="1" applyFill="1" applyBorder="1" applyAlignment="1">
      <x:alignment vertical="top" wrapText="1"/>
    </x:xf>
    <x:xf numFmtId="0" fontId="11" fillId="40" borderId="20" xfId="0" applyNumberFormat="1" applyFont="1" applyFill="1" applyBorder="1" applyAlignment="1">
      <x:alignment vertical="top" wrapText="1"/>
    </x:xf>
    <x:xf numFmtId="0" fontId="11" fillId="41" borderId="21" xfId="0" applyNumberFormat="1" applyFont="1" applyFill="1" applyBorder="1" applyAlignment="1">
      <x:alignment horizontal="center" vertical="top" wrapText="1"/>
    </x:xf>
    <x:xf numFmtId="0" fontId="11" fillId="41" borderId="22" xfId="0" applyNumberFormat="1" applyFont="1" applyFill="1" applyBorder="1" applyAlignment="1">
      <x:alignment horizontal="center" vertical="top" wrapText="1"/>
    </x:xf>
    <x:xf numFmtId="0" fontId="11" fillId="41" borderId="22" xfId="0" applyNumberFormat="1" applyFont="1" applyFill="1" applyBorder="1" applyAlignment="1">
      <x:alignment vertical="top" wrapText="1"/>
    </x:xf>
    <x:xf numFmtId="0" fontId="11" fillId="41" borderId="23" xfId="0" applyNumberFormat="1" applyFont="1" applyFill="1" applyBorder="1" applyAlignment="1">
      <x:alignment vertical="top" wrapText="1"/>
    </x:xf>
    <x:xf numFmtId="0" fontId="11" fillId="7" borderId="15" xfId="0" applyNumberFormat="1" applyFont="1" applyFill="1" applyBorder="1" applyAlignment="1">
      <x:alignment horizontal="center" vertical="top" wrapText="1"/>
    </x:xf>
    <x:xf numFmtId="201" fontId="11" fillId="7" borderId="16" xfId="0" applyNumberFormat="1" applyFont="1" applyFill="1" applyBorder="1" applyAlignment="1">
      <x:alignment horizontal="center" vertical="top" wrapText="1"/>
    </x:xf>
    <x:xf numFmtId="0" fontId="11" fillId="7" borderId="16" xfId="0" applyNumberFormat="1" applyFont="1" applyFill="1" applyBorder="1" applyAlignment="1">
      <x:alignment horizontal="center" vertical="top" wrapText="1"/>
    </x:xf>
    <x:xf numFmtId="0" fontId="11" fillId="7" borderId="16" xfId="0" applyNumberFormat="1" applyFont="1" applyFill="1" applyBorder="1" applyAlignment="1">
      <x:alignment vertical="top" wrapText="1"/>
    </x:xf>
    <x:xf numFmtId="0" fontId="11" fillId="7" borderId="17" xfId="0" applyNumberFormat="1" applyFont="1" applyFill="1" applyBorder="1" applyAlignment="1">
      <x:alignment vertical="top" wrapText="1"/>
    </x:xf>
    <x:xf numFmtId="0" fontId="11" fillId="7" borderId="21" xfId="0" applyNumberFormat="1" applyFont="1" applyFill="1" applyBorder="1" applyAlignment="1">
      <x:alignment horizontal="center" vertical="top" wrapText="1"/>
    </x:xf>
    <x:xf numFmtId="201" fontId="11" fillId="7" borderId="22" xfId="0" applyNumberFormat="1" applyFont="1" applyFill="1" applyBorder="1" applyAlignment="1">
      <x:alignment horizontal="center" vertical="top" wrapText="1"/>
    </x:xf>
    <x:xf numFmtId="0" fontId="11" fillId="7" borderId="22" xfId="0" applyNumberFormat="1" applyFont="1" applyFill="1" applyBorder="1" applyAlignment="1">
      <x:alignment horizontal="center" vertical="top" wrapText="1"/>
    </x:xf>
    <x:xf numFmtId="0" fontId="11" fillId="7" borderId="22" xfId="0" applyNumberFormat="1" applyFont="1" applyFill="1" applyBorder="1" applyAlignment="1">
      <x:alignment vertical="top" wrapText="1"/>
    </x:xf>
    <x:xf numFmtId="0" fontId="11" fillId="7" borderId="23" xfId="0" applyNumberFormat="1" applyFont="1" applyFill="1" applyBorder="1" applyAlignment="1">
      <x:alignment vertical="top" wrapText="1"/>
    </x:xf>
    <x:xf numFmtId="0" fontId="11" fillId="7" borderId="17" xfId="0" applyNumberFormat="1" applyFont="1" applyFill="1" applyBorder="1" applyAlignment="1">
      <x:alignment horizontal="center" vertical="top" wrapText="1"/>
    </x:xf>
    <x:xf numFmtId="0" fontId="11" fillId="7" borderId="23" xfId="0" applyNumberFormat="1" applyFont="1" applyFill="1" applyBorder="1" applyAlignment="1">
      <x:alignment horizontal="center" vertical="top" wrapText="1"/>
    </x:xf>
    <x:xf numFmtId="0" fontId="11" fillId="42" borderId="15" xfId="0" applyNumberFormat="1" applyFont="1" applyFill="1" applyBorder="1" applyAlignment="1">
      <x:alignment horizontal="center" vertical="top" wrapText="1"/>
    </x:xf>
    <x:xf numFmtId="201" fontId="11" fillId="42" borderId="16" xfId="0" applyNumberFormat="1" applyFont="1" applyFill="1" applyBorder="1" applyAlignment="1">
      <x:alignment horizontal="center" vertical="top" wrapText="1"/>
    </x:xf>
    <x:xf numFmtId="0" fontId="11" fillId="42" borderId="16" xfId="0" applyNumberFormat="1" applyFont="1" applyFill="1" applyBorder="1" applyAlignment="1">
      <x:alignment horizontal="center" vertical="top" wrapText="1"/>
    </x:xf>
    <x:xf numFmtId="0" fontId="11" fillId="42" borderId="16" xfId="0" applyNumberFormat="1" applyFont="1" applyFill="1" applyBorder="1" applyAlignment="1">
      <x:alignment vertical="top" wrapText="1"/>
    </x:xf>
    <x:xf numFmtId="0" fontId="11" fillId="42" borderId="17" xfId="0" applyNumberFormat="1" applyFont="1" applyFill="1" applyBorder="1" applyAlignment="1">
      <x:alignment horizontal="center" vertical="top" wrapText="1"/>
    </x:xf>
    <x:xf numFmtId="0" fontId="11" fillId="42" borderId="21" xfId="0" applyNumberFormat="1" applyFont="1" applyFill="1" applyBorder="1" applyAlignment="1">
      <x:alignment horizontal="center" vertical="top" wrapText="1"/>
    </x:xf>
    <x:xf numFmtId="201" fontId="11" fillId="42" borderId="22" xfId="0" applyNumberFormat="1" applyFont="1" applyFill="1" applyBorder="1" applyAlignment="1">
      <x:alignment horizontal="center" vertical="top" wrapText="1"/>
    </x:xf>
    <x:xf numFmtId="0" fontId="11" fillId="42" borderId="22" xfId="0" applyNumberFormat="1" applyFont="1" applyFill="1" applyBorder="1" applyAlignment="1">
      <x:alignment horizontal="center" vertical="top" wrapText="1"/>
    </x:xf>
    <x:xf numFmtId="0" fontId="11" fillId="42" borderId="22" xfId="0" applyNumberFormat="1" applyFont="1" applyFill="1" applyBorder="1" applyAlignment="1">
      <x:alignment vertical="top" wrapText="1"/>
    </x:xf>
    <x:xf numFmtId="0" fontId="11" fillId="42" borderId="23" xfId="0" applyNumberFormat="1" applyFont="1" applyFill="1" applyBorder="1" applyAlignment="1">
      <x:alignment horizontal="center" vertical="top" wrapText="1"/>
    </x:xf>
    <x:xf numFmtId="0" fontId="11" fillId="14" borderId="15" xfId="0" applyNumberFormat="1" applyFont="1" applyFill="1" applyBorder="1" applyAlignment="1">
      <x:alignment horizontal="center" vertical="top" wrapText="1"/>
    </x:xf>
    <x:xf numFmtId="0" fontId="11" fillId="38" borderId="15" xfId="0" applyNumberFormat="1" applyFont="1" applyFill="1" applyBorder="1" applyAlignment="1">
      <x:alignment horizontal="center" vertical="top" wrapText="1"/>
    </x:xf>
    <x:xf numFmtId="0" fontId="11" fillId="13" borderId="15" xfId="0" applyNumberFormat="1" applyFont="1" applyFill="1" applyBorder="1" applyAlignment="1">
      <x:alignment horizontal="center" vertical="top" wrapText="1"/>
    </x:xf>
    <x:xf numFmtId="0" fontId="11" fillId="13" borderId="16" xfId="0" applyNumberFormat="1" applyFont="1" applyFill="1" applyBorder="1" applyAlignment="1">
      <x:alignment horizontal="center" vertical="top" wrapText="1"/>
    </x:xf>
    <x:xf numFmtId="0" fontId="11" fillId="13" borderId="16" xfId="0" applyNumberFormat="1" applyFont="1" applyFill="1" applyBorder="1" applyAlignment="1">
      <x:alignment vertical="top" wrapText="1"/>
    </x:xf>
    <x:xf numFmtId="0" fontId="11" fillId="13" borderId="17" xfId="0" applyNumberFormat="1" applyFont="1" applyFill="1" applyBorder="1" applyAlignment="1">
      <x:alignment vertical="top" wrapText="1"/>
    </x:xf>
    <x:xf numFmtId="0" fontId="11" fillId="13" borderId="18" xfId="0" applyNumberFormat="1" applyFont="1" applyFill="1" applyBorder="1" applyAlignment="1">
      <x:alignment horizontal="center" vertical="top" wrapText="1"/>
    </x:xf>
    <x:xf numFmtId="0" fontId="11" fillId="13" borderId="19" xfId="0" applyNumberFormat="1" applyFont="1" applyFill="1" applyBorder="1" applyAlignment="1">
      <x:alignment horizontal="center" vertical="top" wrapText="1"/>
    </x:xf>
    <x:xf numFmtId="0" fontId="11" fillId="13" borderId="19" xfId="0" applyNumberFormat="1" applyFont="1" applyFill="1" applyBorder="1" applyAlignment="1">
      <x:alignment vertical="top" wrapText="1"/>
    </x:xf>
    <x:xf numFmtId="0" fontId="11" fillId="13" borderId="20" xfId="0" applyNumberFormat="1" applyFont="1" applyFill="1" applyBorder="1" applyAlignment="1">
      <x:alignment vertical="top" wrapText="1"/>
    </x:xf>
    <x:xf numFmtId="0" fontId="11" fillId="43" borderId="15" xfId="0" applyNumberFormat="1" applyFont="1" applyFill="1" applyBorder="1" applyAlignment="1">
      <x:alignment horizontal="center" vertical="top" wrapText="1"/>
    </x:xf>
    <x:xf numFmtId="0" fontId="11" fillId="43" borderId="16" xfId="0" applyNumberFormat="1" applyFont="1" applyFill="1" applyBorder="1" applyAlignment="1">
      <x:alignment horizontal="center" vertical="top" wrapText="1"/>
    </x:xf>
    <x:xf numFmtId="0" fontId="11" fillId="43" borderId="16" xfId="0" applyNumberFormat="1" applyFont="1" applyFill="1" applyBorder="1" applyAlignment="1">
      <x:alignment vertical="top" wrapText="1"/>
    </x:xf>
    <x:xf numFmtId="0" fontId="11" fillId="43" borderId="17" xfId="0" applyNumberFormat="1" applyFont="1" applyFill="1" applyBorder="1" applyAlignment="1">
      <x:alignment vertical="top" wrapText="1"/>
    </x:xf>
    <x:xf numFmtId="0" fontId="11" fillId="43" borderId="18" xfId="0" applyNumberFormat="1" applyFont="1" applyFill="1" applyBorder="1" applyAlignment="1">
      <x:alignment horizontal="center" vertical="top" wrapText="1"/>
    </x:xf>
    <x:xf numFmtId="0" fontId="11" fillId="43" borderId="19" xfId="0" applyNumberFormat="1" applyFont="1" applyFill="1" applyBorder="1" applyAlignment="1">
      <x:alignment horizontal="center" vertical="top" wrapText="1"/>
    </x:xf>
    <x:xf numFmtId="0" fontId="11" fillId="43" borderId="19" xfId="0" applyNumberFormat="1" applyFont="1" applyFill="1" applyBorder="1" applyAlignment="1">
      <x:alignment vertical="top" wrapText="1"/>
    </x:xf>
    <x:xf numFmtId="0" fontId="11" fillId="43" borderId="20" xfId="0" applyNumberFormat="1" applyFont="1" applyFill="1" applyBorder="1" applyAlignment="1">
      <x:alignment vertical="top" wrapText="1"/>
    </x:xf>
    <x:xf numFmtId="200" fontId="11" fillId="14" borderId="16" xfId="0" applyNumberFormat="1" applyFont="1" applyFill="1" applyBorder="1" applyAlignment="1">
      <x:alignment horizontal="center" vertical="top" wrapText="1"/>
    </x:xf>
    <x:xf numFmtId="200" fontId="11" fillId="6" borderId="19" xfId="0" applyNumberFormat="1" applyFont="1" applyFill="1" applyBorder="1" applyAlignment="1">
      <x:alignment horizontal="center" vertical="top" wrapText="1"/>
    </x:xf>
    <x:xf numFmtId="200" fontId="11" fillId="14" borderId="19" xfId="0" applyNumberFormat="1" applyFont="1" applyFill="1" applyBorder="1" applyAlignment="1">
      <x:alignment horizontal="center" vertical="top" wrapText="1"/>
    </x:xf>
    <x:xf numFmtId="200" fontId="11" fillId="38" borderId="16" xfId="0" applyNumberFormat="1" applyFont="1" applyFill="1" applyBorder="1" applyAlignment="1">
      <x:alignment horizontal="center" vertical="top" wrapText="1"/>
    </x:xf>
    <x:xf numFmtId="200" fontId="11" fillId="39" borderId="19" xfId="0" applyNumberFormat="1" applyFont="1" applyFill="1" applyBorder="1" applyAlignment="1">
      <x:alignment horizontal="center" vertical="top" wrapText="1"/>
    </x:xf>
    <x:xf numFmtId="200" fontId="11" fillId="38" borderId="19" xfId="0" applyNumberFormat="1" applyFont="1" applyFill="1" applyBorder="1" applyAlignment="1">
      <x:alignment horizontal="center" vertical="top" wrapText="1"/>
    </x:xf>
    <x:xf numFmtId="0" fontId="10" fillId="4" borderId="15" xfId="0" applyNumberFormat="1" applyFont="1" applyFill="1" applyBorder="1" applyAlignment="1">
      <x:alignment vertical="top" wrapText="1"/>
    </x:xf>
    <x:xf numFmtId="0" fontId="11" fillId="4" borderId="16" xfId="0" applyNumberFormat="1" applyFont="1" applyFill="1" applyBorder="1" applyAlignment="1">
      <x:alignment vertical="top" wrapText="1"/>
    </x:xf>
    <x:xf numFmtId="0" fontId="11" fillId="4" borderId="17" xfId="0" applyNumberFormat="1" applyFont="1" applyFill="1" applyBorder="1" applyAlignment="1">
      <x:alignment vertical="top" wrapText="1"/>
    </x:xf>
    <x:xf numFmtId="0" fontId="10" fillId="6" borderId="18" xfId="0" applyNumberFormat="1" applyFont="1" applyFill="1" applyBorder="1" applyAlignment="1">
      <x:alignment vertical="top" wrapText="1"/>
    </x:xf>
    <x:xf numFmtId="0" fontId="10" fillId="4" borderId="18" xfId="0" applyNumberFormat="1" applyFont="1" applyFill="1" applyBorder="1" applyAlignment="1">
      <x:alignment vertical="top" wrapText="1"/>
    </x:xf>
    <x:xf numFmtId="0" fontId="11" fillId="4" borderId="19" xfId="0" applyNumberFormat="1" applyFont="1" applyFill="1" applyBorder="1" applyAlignment="1">
      <x:alignment vertical="top" wrapText="1"/>
    </x:xf>
    <x:xf numFmtId="0" fontId="11" fillId="4" borderId="20" xfId="0" applyNumberFormat="1" applyFont="1" applyFill="1" applyBorder="1" applyAlignment="1">
      <x:alignment vertical="top" wrapText="1"/>
    </x:xf>
    <x:xf numFmtId="0" fontId="10" fillId="6" borderId="21" xfId="0" applyNumberFormat="1" applyFont="1" applyFill="1" applyBorder="1" applyAlignment="1">
      <x:alignment vertical="top" wrapText="1"/>
    </x:xf>
    <x:xf numFmtId="0" fontId="6" fillId="44" borderId="1" xfId="0" applyNumberFormat="1" applyFont="1" applyFill="1" applyBorder="1" applyAlignment="1">
      <x:alignment horizontal="center" vertical="center" wrapText="1"/>
    </x:xf>
    <x:xf numFmtId="0" fontId="19" fillId="44" borderId="1" xfId="0" applyNumberFormat="1" applyFont="1" applyFill="1" applyBorder="1" applyAlignment="1">
      <x:alignment horizontal="center" vertical="center" wrapText="1"/>
    </x:xf>
    <x:xf numFmtId="0" fontId="9" fillId="13" borderId="10" xfId="0" applyNumberFormat="1" applyFont="1" applyFill="1" applyBorder="1" applyAlignment="1">
      <x:alignment wrapText="1"/>
    </x:xf>
    <x:xf numFmtId="0" fontId="4" fillId="45" borderId="10" xfId="0" applyNumberFormat="1" applyFont="1" applyFill="1" applyBorder="1" applyAlignment="1">
      <x:alignment vertical="top" wrapText="1"/>
    </x:xf>
    <x:xf numFmtId="0" fontId="0" fillId="45" borderId="10" xfId="0" applyNumberFormat="1" applyFont="1" applyFill="1" applyBorder="1"/>
    <x:xf numFmtId="0" fontId="9" fillId="45" borderId="10" xfId="0" applyNumberFormat="1" applyFont="1" applyFill="1" applyBorder="1" applyAlignment="1">
      <x:alignment wrapText="1"/>
    </x:xf>
    <x:xf numFmtId="0" fontId="12" fillId="13" borderId="10" xfId="0" applyNumberFormat="1" applyFont="1" applyFill="1" applyBorder="1" applyAlignment="1">
      <x:alignment wrapText="1"/>
    </x:xf>
    <x:xf numFmtId="0" fontId="12" fillId="13" borderId="10" xfId="0" applyNumberFormat="1" applyFont="1" applyFill="1" applyBorder="1" applyAlignment="1">
      <x:alignment horizontal="center" wrapText="1"/>
    </x:xf>
    <x:xf numFmtId="0" fontId="8" fillId="40" borderId="2" xfId="0" applyNumberFormat="1" applyFont="1" applyFill="1" applyBorder="1" applyAlignment="1">
      <x:alignment vertical="top" wrapText="1"/>
    </x:xf>
    <x:xf numFmtId="0" fontId="8" fillId="40" borderId="3" xfId="0" applyNumberFormat="1" applyFont="1" applyFill="1" applyBorder="1" applyAlignment="1">
      <x:alignment vertical="top" wrapText="1"/>
    </x:xf>
    <x:xf numFmtId="0" fontId="8" fillId="40" borderId="4" xfId="0" applyNumberFormat="1" applyFont="1" applyFill="1" applyBorder="1" applyAlignment="1">
      <x:alignment vertical="top" wrapText="1"/>
    </x:xf>
    <x:xf numFmtId="0" fontId="8" fillId="40" borderId="5" xfId="0" applyNumberFormat="1" applyFont="1" applyFill="1" applyBorder="1" applyAlignment="1">
      <x:alignment vertical="top" wrapText="1"/>
    </x:xf>
    <x:xf numFmtId="0" fontId="8" fillId="40" borderId="0" xfId="0" applyNumberFormat="1" applyFont="1" applyFill="1" applyBorder="1" applyAlignment="1">
      <x:alignment vertical="top" wrapText="1"/>
    </x:xf>
    <x:xf numFmtId="0" fontId="8" fillId="40" borderId="6" xfId="0" applyNumberFormat="1" applyFont="1" applyFill="1" applyBorder="1" applyAlignment="1">
      <x:alignment vertical="top" wrapText="1"/>
    </x:xf>
    <x:xf numFmtId="0" fontId="8" fillId="40" borderId="7" xfId="0" applyNumberFormat="1" applyFont="1" applyFill="1" applyBorder="1" applyAlignment="1">
      <x:alignment vertical="top" wrapText="1"/>
    </x:xf>
    <x:xf numFmtId="0" fontId="8" fillId="40" borderId="8" xfId="0" applyNumberFormat="1" applyFont="1" applyFill="1" applyBorder="1" applyAlignment="1">
      <x:alignment vertical="top" wrapText="1"/>
    </x:xf>
    <x:xf numFmtId="0" fontId="8" fillId="40" borderId="9" xfId="0" applyNumberFormat="1" applyFont="1" applyFill="1" applyBorder="1" applyAlignment="1">
      <x:alignment vertical="top" wrapText="1"/>
    </x:xf>
    <x:xf numFmtId="0" fontId="0" fillId="40" borderId="0" xfId="0" applyNumberFormat="1" applyFont="1" applyFill="1" applyBorder="1"/>
    <x:xf numFmtId="0" fontId="20" fillId="40" borderId="2" xfId="0" applyNumberFormat="1" applyFont="1" applyFill="1" applyBorder="1" applyAlignment="1">
      <x:alignment vertical="top" wrapText="1"/>
    </x:xf>
    <x:xf numFmtId="0" fontId="20" fillId="40" borderId="3" xfId="0" applyNumberFormat="1" applyFont="1" applyFill="1" applyBorder="1" applyAlignment="1">
      <x:alignment vertical="top" wrapText="1"/>
    </x:xf>
    <x:xf numFmtId="0" fontId="20" fillId="40" borderId="4" xfId="0" applyNumberFormat="1" applyFont="1" applyFill="1" applyBorder="1" applyAlignment="1">
      <x:alignment vertical="top" wrapText="1"/>
    </x:xf>
    <x:xf numFmtId="0" fontId="20" fillId="40" borderId="5" xfId="0" applyNumberFormat="1" applyFont="1" applyFill="1" applyBorder="1" applyAlignment="1">
      <x:alignment vertical="top" wrapText="1"/>
    </x:xf>
    <x:xf numFmtId="0" fontId="20" fillId="40" borderId="0" xfId="0" applyNumberFormat="1" applyFont="1" applyFill="1" applyBorder="1" applyAlignment="1">
      <x:alignment vertical="top" wrapText="1"/>
    </x:xf>
    <x:xf numFmtId="0" fontId="20" fillId="40" borderId="6" xfId="0" applyNumberFormat="1" applyFont="1" applyFill="1" applyBorder="1" applyAlignment="1">
      <x:alignment vertical="top" wrapText="1"/>
    </x:xf>
    <x:xf numFmtId="0" fontId="20" fillId="40" borderId="7" xfId="0" applyNumberFormat="1" applyFont="1" applyFill="1" applyBorder="1" applyAlignment="1">
      <x:alignment vertical="top" wrapText="1"/>
    </x:xf>
    <x:xf numFmtId="0" fontId="20" fillId="40" borderId="8" xfId="0" applyNumberFormat="1" applyFont="1" applyFill="1" applyBorder="1" applyAlignment="1">
      <x:alignment vertical="top" wrapText="1"/>
    </x:xf>
    <x:xf numFmtId="0" fontId="20" fillId="40" borderId="9" xfId="0" applyNumberFormat="1" applyFont="1" applyFill="1" applyBorder="1" applyAlignment="1">
      <x:alignment vertical="top" wrapText="1"/>
    </x:xf>
    <x:xf numFmtId="0" fontId="20" fillId="40" borderId="0" xfId="0" applyNumberFormat="1" applyFont="1" applyFill="1" applyBorder="1"/>
    <x:xf numFmtId="0" fontId="20" fillId="40" borderId="0" xfId="0" applyNumberFormat="1" applyFont="1" applyFill="1" applyBorder="1" applyAlignment="1">
      <x:alignment wrapText="1"/>
    </x:xf>
    <x:xf numFmtId="0" fontId="0" fillId="43" borderId="0" xfId="0" applyNumberFormat="1" applyFont="1" applyFill="1" applyBorder="1"/>
    <x:xf numFmtId="0" fontId="21" fillId="43" borderId="0" xfId="0" applyNumberFormat="1" applyFont="1" applyFill="1" applyBorder="1"/>
    <x:xf numFmtId="0" fontId="21" fillId="43" borderId="0" xfId="0" applyNumberFormat="1" applyFont="1" applyFill="1" applyBorder="1" applyAlignment="1">
      <x:alignment wrapText="1"/>
    </x:xf>
    <x:xf numFmtId="0" fontId="21" fillId="43" borderId="0" xfId="0" applyNumberFormat="1" applyFont="1" applyFill="1" applyBorder="1" applyAlignment="1">
      <x:alignment vertical="center" wrapText="1"/>
    </x:xf>
    <x:xf numFmtId="0" fontId="3" fillId="46" borderId="1" xfId="0" applyNumberFormat="1" applyFont="1" applyFill="1" applyBorder="1" applyAlignment="1">
      <x:alignment horizontal="center" vertical="center" wrapText="1"/>
    </x:xf>
    <x:xf numFmtId="0" fontId="10" fillId="47" borderId="15" xfId="0" applyNumberFormat="1" applyFont="1" applyFill="1" applyBorder="1" applyAlignment="1">
      <x:alignment horizontal="center" vertical="top" wrapText="1"/>
    </x:xf>
    <x:xf numFmtId="0" fontId="11" fillId="47" borderId="16" xfId="0" applyNumberFormat="1" applyFont="1" applyFill="1" applyBorder="1" applyAlignment="1">
      <x:alignment horizontal="center" vertical="top" wrapText="1"/>
    </x:xf>
    <x:xf numFmtId="201" fontId="11" fillId="47" borderId="16" xfId="0" applyNumberFormat="1" applyFont="1" applyFill="1" applyBorder="1" applyAlignment="1">
      <x:alignment horizontal="center" vertical="top" wrapText="1"/>
    </x:xf>
    <x:xf numFmtId="0" fontId="11" fillId="47" borderId="16" xfId="0" applyNumberFormat="1" applyFont="1" applyFill="1" applyBorder="1" applyAlignment="1">
      <x:alignment vertical="top" wrapText="1"/>
    </x:xf>
    <x:xf numFmtId="0" fontId="11" fillId="47" borderId="17" xfId="0" applyNumberFormat="1" applyFont="1" applyFill="1" applyBorder="1" applyAlignment="1">
      <x:alignment vertical="top" wrapText="1"/>
    </x:xf>
    <x:xf numFmtId="0" fontId="11" fillId="48" borderId="18" xfId="0" applyNumberFormat="1" applyFont="1" applyFill="1" applyBorder="1" applyAlignment="1">
      <x:alignment horizontal="center" vertical="top" wrapText="1"/>
    </x:xf>
    <x:xf numFmtId="0" fontId="11" fillId="48" borderId="19" xfId="0" applyNumberFormat="1" applyFont="1" applyFill="1" applyBorder="1" applyAlignment="1">
      <x:alignment horizontal="center" vertical="top" wrapText="1"/>
    </x:xf>
    <x:xf numFmtId="201" fontId="11" fillId="48" borderId="19" xfId="0" applyNumberFormat="1" applyFont="1" applyFill="1" applyBorder="1" applyAlignment="1">
      <x:alignment horizontal="center" vertical="top" wrapText="1"/>
    </x:xf>
    <x:xf numFmtId="0" fontId="11" fillId="48" borderId="19" xfId="0" applyNumberFormat="1" applyFont="1" applyFill="1" applyBorder="1" applyAlignment="1">
      <x:alignment vertical="top" wrapText="1"/>
    </x:xf>
    <x:xf numFmtId="0" fontId="11" fillId="48" borderId="20" xfId="0" applyNumberFormat="1" applyFont="1" applyFill="1" applyBorder="1" applyAlignment="1">
      <x:alignment vertical="top" wrapText="1"/>
    </x:xf>
    <x:xf numFmtId="0" fontId="10" fillId="47" borderId="18" xfId="0" applyNumberFormat="1" applyFont="1" applyFill="1" applyBorder="1" applyAlignment="1">
      <x:alignment horizontal="center" vertical="top" wrapText="1"/>
    </x:xf>
    <x:xf numFmtId="0" fontId="11" fillId="47" borderId="19" xfId="0" applyNumberFormat="1" applyFont="1" applyFill="1" applyBorder="1" applyAlignment="1">
      <x:alignment horizontal="center" vertical="top" wrapText="1"/>
    </x:xf>
    <x:xf numFmtId="201" fontId="11" fillId="47" borderId="19" xfId="0" applyNumberFormat="1" applyFont="1" applyFill="1" applyBorder="1" applyAlignment="1">
      <x:alignment horizontal="center" vertical="top" wrapText="1"/>
    </x:xf>
    <x:xf numFmtId="0" fontId="11" fillId="47" borderId="19" xfId="0" applyNumberFormat="1" applyFont="1" applyFill="1" applyBorder="1" applyAlignment="1">
      <x:alignment vertical="top" wrapText="1"/>
    </x:xf>
    <x:xf numFmtId="0" fontId="11" fillId="47" borderId="20" xfId="0" applyNumberFormat="1" applyFont="1" applyFill="1" applyBorder="1" applyAlignment="1">
      <x:alignment vertical="top" wrapText="1"/>
    </x:xf>
    <x:xf numFmtId="0" fontId="10" fillId="48" borderId="18" xfId="0" applyNumberFormat="1" applyFont="1" applyFill="1" applyBorder="1" applyAlignment="1">
      <x:alignment horizontal="center" vertical="top" wrapText="1"/>
    </x:xf>
    <x:xf numFmtId="0" fontId="11" fillId="47" borderId="18" xfId="0" applyNumberFormat="1" applyFont="1" applyFill="1" applyBorder="1" applyAlignment="1">
      <x:alignment horizontal="center" vertical="top" wrapText="1"/>
    </x:xf>
    <x:xf numFmtId="0" fontId="11" fillId="48" borderId="21" xfId="0" applyNumberFormat="1" applyFont="1" applyFill="1" applyBorder="1" applyAlignment="1">
      <x:alignment horizontal="center" vertical="top" wrapText="1"/>
    </x:xf>
    <x:xf numFmtId="0" fontId="11" fillId="48" borderId="22" xfId="0" applyNumberFormat="1" applyFont="1" applyFill="1" applyBorder="1" applyAlignment="1">
      <x:alignment horizontal="center" vertical="top" wrapText="1"/>
    </x:xf>
    <x:xf numFmtId="201" fontId="11" fillId="48" borderId="22" xfId="0" applyNumberFormat="1" applyFont="1" applyFill="1" applyBorder="1" applyAlignment="1">
      <x:alignment horizontal="center" vertical="top" wrapText="1"/>
    </x:xf>
    <x:xf numFmtId="0" fontId="11" fillId="48" borderId="22" xfId="0" applyNumberFormat="1" applyFont="1" applyFill="1" applyBorder="1" applyAlignment="1">
      <x:alignment vertical="top" wrapText="1"/>
    </x:xf>
    <x:xf numFmtId="0" fontId="11" fillId="48" borderId="23" xfId="0" applyNumberFormat="1" applyFont="1" applyFill="1" applyBorder="1" applyAlignment="1">
      <x:alignment vertical="top" wrapText="1"/>
    </x:xf>
    <x:xf numFmtId="0" fontId="11" fillId="47" borderId="0" xfId="0" applyNumberFormat="1" applyFont="1" applyFill="1" applyBorder="1" applyAlignment="1">
      <x:alignment horizontal="center" vertical="top" wrapText="1"/>
    </x:xf>
    <x:xf numFmtId="201" fontId="11" fillId="47" borderId="0" xfId="0" applyNumberFormat="1" applyFont="1" applyFill="1" applyBorder="1" applyAlignment="1">
      <x:alignment horizontal="center" vertical="top" wrapText="1"/>
    </x:xf>
    <x:xf numFmtId="0" fontId="11" fillId="47" borderId="0" xfId="0" applyNumberFormat="1" applyFont="1" applyFill="1" applyBorder="1" applyAlignment="1">
      <x:alignment vertical="top" wrapText="1"/>
    </x:xf>
    <x:xf numFmtId="0" fontId="11" fillId="48" borderId="0" xfId="0" applyNumberFormat="1" applyFont="1" applyFill="1" applyBorder="1" applyAlignment="1">
      <x:alignment horizontal="center" vertical="top" wrapText="1"/>
    </x:xf>
    <x:xf numFmtId="201" fontId="11" fillId="48" borderId="0" xfId="0" applyNumberFormat="1" applyFont="1" applyFill="1" applyBorder="1" applyAlignment="1">
      <x:alignment horizontal="center" vertical="top" wrapText="1"/>
    </x:xf>
    <x:xf numFmtId="0" fontId="11" fillId="48" borderId="0" xfId="0" applyNumberFormat="1" applyFont="1" applyFill="1" applyBorder="1" applyAlignment="1">
      <x:alignment vertical="top" wrapText="1"/>
    </x:xf>
    <x:xf numFmtId="0" fontId="11" fillId="49" borderId="15" xfId="0" applyNumberFormat="1" applyFont="1" applyFill="1" applyBorder="1" applyAlignment="1">
      <x:alignment horizontal="center" vertical="top" wrapText="1"/>
    </x:xf>
    <x:xf numFmtId="201" fontId="11" fillId="49" borderId="16" xfId="0" applyNumberFormat="1" applyFont="1" applyFill="1" applyBorder="1" applyAlignment="1">
      <x:alignment horizontal="center" vertical="top" wrapText="1"/>
    </x:xf>
    <x:xf numFmtId="0" fontId="11" fillId="49" borderId="16" xfId="0" applyNumberFormat="1" applyFont="1" applyFill="1" applyBorder="1" applyAlignment="1">
      <x:alignment horizontal="center" vertical="top" wrapText="1"/>
    </x:xf>
    <x:xf numFmtId="0" fontId="11" fillId="49" borderId="16" xfId="0" applyNumberFormat="1" applyFont="1" applyFill="1" applyBorder="1" applyAlignment="1">
      <x:alignment vertical="top" wrapText="1"/>
    </x:xf>
    <x:xf numFmtId="0" fontId="11" fillId="49" borderId="17" xfId="0" applyNumberFormat="1" applyFont="1" applyFill="1" applyBorder="1" applyAlignment="1">
      <x:alignment horizontal="center" vertical="top" wrapText="1"/>
    </x:xf>
    <x:xf numFmtId="0" fontId="11" fillId="47" borderId="15" xfId="0" applyNumberFormat="1" applyFont="1" applyFill="1" applyBorder="1" applyAlignment="1">
      <x:alignment horizontal="center" vertical="top" wrapText="1"/>
    </x:xf>
    <x:xf numFmtId="0" fontId="11" fillId="50" borderId="15" xfId="0" applyNumberFormat="1" applyFont="1" applyFill="1" applyBorder="1" applyAlignment="1">
      <x:alignment horizontal="center" vertical="top" wrapText="1"/>
    </x:xf>
    <x:xf numFmtId="0" fontId="11" fillId="50" borderId="16" xfId="0" applyNumberFormat="1" applyFont="1" applyFill="1" applyBorder="1" applyAlignment="1">
      <x:alignment horizontal="center" vertical="top" wrapText="1"/>
    </x:xf>
    <x:xf numFmtId="0" fontId="11" fillId="50" borderId="16" xfId="0" applyNumberFormat="1" applyFont="1" applyFill="1" applyBorder="1" applyAlignment="1">
      <x:alignment vertical="top" wrapText="1"/>
    </x:xf>
    <x:xf numFmtId="0" fontId="11" fillId="50" borderId="17" xfId="0" applyNumberFormat="1" applyFont="1" applyFill="1" applyBorder="1" applyAlignment="1">
      <x:alignment vertical="top" wrapText="1"/>
    </x:xf>
    <x:xf numFmtId="0" fontId="11" fillId="50" borderId="18" xfId="0" applyNumberFormat="1" applyFont="1" applyFill="1" applyBorder="1" applyAlignment="1">
      <x:alignment horizontal="center" vertical="top" wrapText="1"/>
    </x:xf>
    <x:xf numFmtId="0" fontId="11" fillId="50" borderId="19" xfId="0" applyNumberFormat="1" applyFont="1" applyFill="1" applyBorder="1" applyAlignment="1">
      <x:alignment horizontal="center" vertical="top" wrapText="1"/>
    </x:xf>
    <x:xf numFmtId="0" fontId="11" fillId="50" borderId="19" xfId="0" applyNumberFormat="1" applyFont="1" applyFill="1" applyBorder="1" applyAlignment="1">
      <x:alignment vertical="top" wrapText="1"/>
    </x:xf>
    <x:xf numFmtId="0" fontId="11" fillId="50" borderId="20" xfId="0" applyNumberFormat="1" applyFont="1" applyFill="1" applyBorder="1" applyAlignment="1">
      <x:alignment vertical="top" wrapText="1"/>
    </x:xf>
    <x:xf numFmtId="0" fontId="11" fillId="50" borderId="0" xfId="0" applyNumberFormat="1" applyFont="1" applyFill="1" applyBorder="1" applyAlignment="1">
      <x:alignment horizontal="center" vertical="top" wrapText="1"/>
    </x:xf>
    <x:xf numFmtId="0" fontId="11" fillId="50" borderId="0" xfId="0" applyNumberFormat="1" applyFont="1" applyFill="1" applyBorder="1" applyAlignment="1">
      <x:alignment vertical="top" wrapText="1"/>
    </x:xf>
    <x:xf numFmtId="200" fontId="11" fillId="47" borderId="16" xfId="0" applyNumberFormat="1" applyFont="1" applyFill="1" applyBorder="1" applyAlignment="1">
      <x:alignment horizontal="center" vertical="top" wrapText="1"/>
    </x:xf>
    <x:xf numFmtId="200" fontId="11" fillId="48" borderId="19" xfId="0" applyNumberFormat="1" applyFont="1" applyFill="1" applyBorder="1" applyAlignment="1">
      <x:alignment horizontal="center" vertical="top" wrapText="1"/>
    </x:xf>
    <x:xf numFmtId="200" fontId="11" fillId="47" borderId="19" xfId="0" applyNumberFormat="1" applyFont="1" applyFill="1" applyBorder="1" applyAlignment="1">
      <x:alignment horizontal="center" vertical="top" wrapText="1"/>
    </x:xf>
    <x:xf numFmtId="0" fontId="1" fillId="51" borderId="0" xfId="0" applyNumberFormat="1" applyFont="1" applyFill="1" applyBorder="1" applyAlignment="1">
      <x:alignment horizontal="left" vertical="center"/>
    </x:xf>
    <x:xf numFmtId="0" fontId="14" fillId="47" borderId="11" xfId="0" applyNumberFormat="1" applyFont="1" applyFill="1" applyBorder="1" applyAlignment="1">
      <x:alignment vertical="center" wrapText="1"/>
    </x:xf>
    <x:xf numFmtId="202" fontId="13" fillId="47" borderId="11" xfId="0" applyNumberFormat="1" applyFont="1" applyFill="1" applyBorder="1" applyAlignment="1">
      <x:alignment vertical="center" wrapText="1"/>
    </x:xf>
    <x:xf numFmtId="0" fontId="13" fillId="47" borderId="11" xfId="0" applyNumberFormat="1" applyFont="1" applyFill="1" applyBorder="1" applyAlignment="1">
      <x:alignment vertical="center" wrapText="1"/>
    </x:xf>
    <x:xf numFmtId="0" fontId="15" fillId="52" borderId="0" xfId="0" applyNumberFormat="1" applyFont="1" applyFill="1" applyBorder="1" applyAlignment="1">
      <x:alignment vertical="center" wrapText="1"/>
    </x:xf>
    <x:xf numFmtId="0" fontId="16" fillId="47" borderId="11" xfId="0" applyNumberFormat="1" applyFont="1" applyFill="1" applyBorder="1" applyAlignment="1">
      <x:alignment horizontal="center" vertical="center"/>
    </x:xf>
    <x:xf numFmtId="0" fontId="16" fillId="48" borderId="11" xfId="0" applyNumberFormat="1" applyFont="1" applyFill="1" applyBorder="1" applyAlignment="1">
      <x:alignment horizontal="center" vertical="center"/>
    </x:xf>
    <x:xf numFmtId="203" fontId="16" fillId="48" borderId="11" xfId="0" applyNumberFormat="1" applyFont="1" applyFill="1" applyBorder="1" applyAlignment="1">
      <x:alignment horizontal="center" vertical="center"/>
    </x:xf>
    <x:xf numFmtId="0" fontId="17" fillId="53" borderId="12" xfId="0" applyNumberFormat="1" applyFont="1" applyFill="1" applyBorder="1" applyAlignment="1">
      <x:alignment vertical="center" wrapText="1"/>
    </x:xf>
    <x:xf numFmtId="0" fontId="18" fillId="54" borderId="13" xfId="0" applyNumberFormat="1" applyFont="1" applyFill="1" applyBorder="1" applyAlignment="1">
      <x:alignment horizontal="center" vertical="center" wrapText="1"/>
    </x:xf>
    <x:xf numFmtId="0" fontId="11" fillId="55" borderId="14" xfId="0" applyNumberFormat="1" applyFont="1" applyFill="1" applyBorder="1" applyAlignment="1">
      <x:alignment vertical="top" wrapText="1"/>
    </x:xf>
    <x:xf numFmtId="202" fontId="11" fillId="55" borderId="14" xfId="0" applyNumberFormat="1" applyFont="1" applyFill="1" applyBorder="1" applyAlignment="1">
      <x:alignment vertical="top" wrapText="1"/>
    </x:xf>
    <x:xf numFmtId="0" fontId="11" fillId="55" borderId="14" xfId="0" applyNumberFormat="1" applyFont="1" applyFill="1" applyBorder="1" applyAlignment="1">
      <x:alignment horizontal="center" vertical="top" wrapText="1"/>
    </x:xf>
    <x:xf numFmtId="0" fontId="11" fillId="48" borderId="14" xfId="0" applyNumberFormat="1" applyFont="1" applyFill="1" applyBorder="1" applyAlignment="1">
      <x:alignment vertical="top" wrapText="1"/>
    </x:xf>
    <x:xf numFmtId="202" fontId="11" fillId="48" borderId="14" xfId="0" applyNumberFormat="1" applyFont="1" applyFill="1" applyBorder="1" applyAlignment="1">
      <x:alignment vertical="top" wrapText="1"/>
    </x:xf>
    <x:xf numFmtId="0" fontId="11" fillId="48" borderId="14" xfId="0" applyNumberFormat="1" applyFont="1" applyFill="1" applyBorder="1" applyAlignment="1">
      <x:alignment horizontal="center" vertical="top" wrapText="1"/>
    </x:xf>
    <x:xf numFmtId="0" fontId="0" fillId="51" borderId="0" xfId="0" applyNumberFormat="1" applyFont="1" applyFill="1" applyBorder="1"/>
    <x:xf numFmtId="0" fontId="1" fillId="51" borderId="0" xfId="0" applyNumberFormat="1" applyFont="1" applyFill="1" applyBorder="1"/>
    <x:xf numFmtId="0" fontId="1" fillId="51" borderId="0" xfId="0" applyNumberFormat="1" applyFont="1" applyFill="1" applyBorder="1" applyAlignment="1">
      <x:alignment vertical="center"/>
    </x:xf>
    <x:xf numFmtId="0" fontId="0" fillId="47" borderId="0" xfId="0" applyNumberFormat="1" applyFont="1" applyFill="1" applyBorder="1"/>
    <x:xf numFmtId="0" fontId="13" fillId="47" borderId="0" xfId="0" applyNumberFormat="1" applyFont="1" applyFill="1" applyBorder="1"/>
    <x:xf numFmtId="0" fontId="13" fillId="47" borderId="0" xfId="0" applyNumberFormat="1" applyFont="1" applyFill="1" applyBorder="1" applyAlignment="1">
      <x:alignment wrapText="1"/>
    </x:xf>
    <x:xf numFmtId="0" fontId="13" fillId="47" borderId="0" xfId="0" applyNumberFormat="1" applyFont="1" applyFill="1" applyBorder="1" applyAlignment="1">
      <x:alignment vertical="center" wrapText="1"/>
    </x:xf>
    <x:xf numFmtId="0" fontId="3" fillId="46" borderId="0" xfId="0" applyNumberFormat="1" applyFont="1" applyFill="1" applyBorder="1" applyAlignment="1">
      <x:alignment horizontal="center" vertical="center" wrapText="1"/>
    </x:xf>
    <x:xf numFmtId="0" fontId="11" fillId="55" borderId="0" xfId="0" applyNumberFormat="1" applyFont="1" applyFill="1" applyBorder="1" applyAlignment="1">
      <x:alignment vertical="top" wrapText="1"/>
    </x:xf>
    <x:xf numFmtId="0" fontId="11" fillId="55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1" fillId="25" borderId="0" xfId="0" applyNumberFormat="1" applyFont="1" applyFill="1" applyBorder="1" applyAlignment="1">
      <x:alignment horizontal="center" vertical="top" wrapText="1"/>
    </x:xf>
    <x:xf numFmtId="0" fontId="11" fillId="25" borderId="0" xfId="0" applyNumberFormat="1" applyFont="1" applyFill="1" applyBorder="1" applyAlignment="1">
      <x:alignment vertical="top" wrapText="1"/>
    </x:xf>
    <x:xf numFmtId="0" fontId="9" fillId="18" borderId="10" xfId="0" applyNumberFormat="1" applyFont="1" applyFill="1" applyBorder="1" applyAlignment="1">
      <x:alignment wrapText="1"/>
    </x:xf>
    <x:xf numFmtId="0" fontId="21" fillId="13" borderId="10" xfId="0" applyNumberFormat="1" applyFont="1" applyFill="1" applyBorder="1" applyAlignment="1">
      <x:alignment vertical="center" wrapText="1"/>
    </x:xf>
    <x:xf numFmtId="0" fontId="4" fillId="56" borderId="10" xfId="0" applyNumberFormat="1" applyFont="1" applyFill="1" applyBorder="1" applyAlignment="1">
      <x:alignment vertical="top" wrapText="1"/>
    </x:xf>
    <x:xf numFmtId="0" fontId="0" fillId="56" borderId="10" xfId="0" applyNumberFormat="1" applyFont="1" applyFill="1" applyBorder="1"/>
    <x:xf numFmtId="0" fontId="9" fillId="56" borderId="10" xfId="0" applyNumberFormat="1" applyFont="1" applyFill="1" applyBorder="1" applyAlignment="1">
      <x:alignment wrapText="1"/>
    </x:xf>
    <x:xf numFmtId="0" fontId="21" fillId="56" borderId="10" xfId="0" applyNumberFormat="1" applyFont="1" applyFill="1" applyBorder="1" applyAlignment="1">
      <x:alignment vertical="center" wrapText="1"/>
    </x:xf>
    <x:xf numFmtId="0" fontId="12" fillId="13" borderId="10" xfId="0" applyNumberFormat="1" applyFont="1" applyFill="1" applyBorder="1" applyAlignment="1">
      <x:alignment vertical="center" wrapText="1"/>
    </x:xf>
    <x:xf numFmtId="0" fontId="12" fillId="13" borderId="10" xfId="0" applyNumberFormat="1" applyFont="1" applyFill="1" applyBorder="1" applyAlignment="1">
      <x:alignment horizontal="center" vertical="center" wrapText="1"/>
    </x:xf>
    <x:xf numFmtId="0" fontId="20" fillId="8" borderId="2" xfId="0" applyNumberFormat="1" applyFont="1" applyFill="1" applyBorder="1" applyAlignment="1">
      <x:alignment vertical="top" wrapText="1"/>
    </x:xf>
    <x:xf numFmtId="0" fontId="20" fillId="8" borderId="3" xfId="0" applyNumberFormat="1" applyFont="1" applyFill="1" applyBorder="1" applyAlignment="1">
      <x:alignment vertical="top" wrapText="1"/>
    </x:xf>
    <x:xf numFmtId="0" fontId="20" fillId="8" borderId="4" xfId="0" applyNumberFormat="1" applyFont="1" applyFill="1" applyBorder="1" applyAlignment="1">
      <x:alignment vertical="top" wrapText="1"/>
    </x:xf>
    <x:xf numFmtId="0" fontId="20" fillId="8" borderId="5" xfId="0" applyNumberFormat="1" applyFont="1" applyFill="1" applyBorder="1" applyAlignment="1">
      <x:alignment vertical="top" wrapText="1"/>
    </x:xf>
    <x:xf numFmtId="0" fontId="20" fillId="8" borderId="0" xfId="0" applyNumberFormat="1" applyFont="1" applyFill="1" applyBorder="1" applyAlignment="1">
      <x:alignment vertical="top" wrapText="1"/>
    </x:xf>
    <x:xf numFmtId="0" fontId="20" fillId="8" borderId="6" xfId="0" applyNumberFormat="1" applyFont="1" applyFill="1" applyBorder="1" applyAlignment="1">
      <x:alignment vertical="top" wrapText="1"/>
    </x:xf>
    <x:xf numFmtId="0" fontId="20" fillId="8" borderId="7" xfId="0" applyNumberFormat="1" applyFont="1" applyFill="1" applyBorder="1" applyAlignment="1">
      <x:alignment vertical="top" wrapText="1"/>
    </x:xf>
    <x:xf numFmtId="0" fontId="20" fillId="8" borderId="8" xfId="0" applyNumberFormat="1" applyFont="1" applyFill="1" applyBorder="1" applyAlignment="1">
      <x:alignment vertical="top" wrapText="1"/>
    </x:xf>
    <x:xf numFmtId="0" fontId="20" fillId="8" borderId="9" xfId="0" applyNumberFormat="1" applyFont="1" applyFill="1" applyBorder="1" applyAlignment="1">
      <x:alignment vertical="top" wrapText="1"/>
    </x:xf>
    <x:xf numFmtId="0" fontId="22" fillId="56" borderId="10" xfId="0" applyNumberFormat="1" applyFont="1" applyFill="1" applyBorder="1" applyAlignment="1">
      <x:alignment vertical="top" wrapText="1"/>
    </x:xf>
    <x:xf numFmtId="0" fontId="22" fillId="56" borderId="10" xfId="0" applyNumberFormat="1" applyFont="1" applyFill="1" applyBorder="1"/>
    <x:xf numFmtId="0" fontId="22" fillId="56" borderId="10" xfId="0" applyNumberFormat="1" applyFont="1" applyFill="1" applyBorder="1" applyAlignment="1">
      <x:alignment wrapText="1"/>
    </x:xf>
    <x:xf numFmtId="0" fontId="22" fillId="56" borderId="10" xfId="0" applyNumberFormat="1" applyFont="1" applyFill="1" applyBorder="1" applyAlignment="1">
      <x:alignment vertical="center" wrapText="1"/>
    </x:xf>
    <x:xf numFmtId="0" fontId="3" fillId="57" borderId="1" xfId="0" applyNumberFormat="1" applyFont="1" applyFill="1" applyBorder="1" applyAlignment="1">
      <x:alignment horizontal="center" vertical="center" wrapText="1"/>
    </x:xf>
    <x:xf numFmtId="0" fontId="10" fillId="58" borderId="15" xfId="0" applyNumberFormat="1" applyFont="1" applyFill="1" applyBorder="1" applyAlignment="1">
      <x:alignment horizontal="center" vertical="top" wrapText="1"/>
    </x:xf>
    <x:xf numFmtId="0" fontId="11" fillId="58" borderId="16" xfId="0" applyNumberFormat="1" applyFont="1" applyFill="1" applyBorder="1" applyAlignment="1">
      <x:alignment horizontal="center" vertical="top" wrapText="1"/>
    </x:xf>
    <x:xf numFmtId="201" fontId="11" fillId="58" borderId="16" xfId="0" applyNumberFormat="1" applyFont="1" applyFill="1" applyBorder="1" applyAlignment="1">
      <x:alignment horizontal="center" vertical="top" wrapText="1"/>
    </x:xf>
    <x:xf numFmtId="0" fontId="11" fillId="58" borderId="16" xfId="0" applyNumberFormat="1" applyFont="1" applyFill="1" applyBorder="1" applyAlignment="1">
      <x:alignment vertical="top" wrapText="1"/>
    </x:xf>
    <x:xf numFmtId="0" fontId="11" fillId="58" borderId="17" xfId="0" applyNumberFormat="1" applyFont="1" applyFill="1" applyBorder="1" applyAlignment="1">
      <x:alignment vertical="top" wrapText="1"/>
    </x:xf>
    <x:xf numFmtId="0" fontId="11" fillId="59" borderId="18" xfId="0" applyNumberFormat="1" applyFont="1" applyFill="1" applyBorder="1" applyAlignment="1">
      <x:alignment horizontal="center" vertical="top" wrapText="1"/>
    </x:xf>
    <x:xf numFmtId="0" fontId="11" fillId="59" borderId="19" xfId="0" applyNumberFormat="1" applyFont="1" applyFill="1" applyBorder="1" applyAlignment="1">
      <x:alignment horizontal="center" vertical="top" wrapText="1"/>
    </x:xf>
    <x:xf numFmtId="201" fontId="11" fillId="59" borderId="19" xfId="0" applyNumberFormat="1" applyFont="1" applyFill="1" applyBorder="1" applyAlignment="1">
      <x:alignment horizontal="center" vertical="top" wrapText="1"/>
    </x:xf>
    <x:xf numFmtId="0" fontId="11" fillId="59" borderId="19" xfId="0" applyNumberFormat="1" applyFont="1" applyFill="1" applyBorder="1" applyAlignment="1">
      <x:alignment vertical="top" wrapText="1"/>
    </x:xf>
    <x:xf numFmtId="0" fontId="11" fillId="59" borderId="20" xfId="0" applyNumberFormat="1" applyFont="1" applyFill="1" applyBorder="1" applyAlignment="1">
      <x:alignment vertical="top" wrapText="1"/>
    </x:xf>
    <x:xf numFmtId="0" fontId="10" fillId="58" borderId="18" xfId="0" applyNumberFormat="1" applyFont="1" applyFill="1" applyBorder="1" applyAlignment="1">
      <x:alignment horizontal="center" vertical="top" wrapText="1"/>
    </x:xf>
    <x:xf numFmtId="0" fontId="11" fillId="58" borderId="19" xfId="0" applyNumberFormat="1" applyFont="1" applyFill="1" applyBorder="1" applyAlignment="1">
      <x:alignment horizontal="center" vertical="top" wrapText="1"/>
    </x:xf>
    <x:xf numFmtId="201" fontId="11" fillId="58" borderId="19" xfId="0" applyNumberFormat="1" applyFont="1" applyFill="1" applyBorder="1" applyAlignment="1">
      <x:alignment horizontal="center" vertical="top" wrapText="1"/>
    </x:xf>
    <x:xf numFmtId="0" fontId="11" fillId="58" borderId="19" xfId="0" applyNumberFormat="1" applyFont="1" applyFill="1" applyBorder="1" applyAlignment="1">
      <x:alignment vertical="top" wrapText="1"/>
    </x:xf>
    <x:xf numFmtId="0" fontId="11" fillId="58" borderId="20" xfId="0" applyNumberFormat="1" applyFont="1" applyFill="1" applyBorder="1" applyAlignment="1">
      <x:alignment vertical="top" wrapText="1"/>
    </x:xf>
    <x:xf numFmtId="0" fontId="10" fillId="59" borderId="18" xfId="0" applyNumberFormat="1" applyFont="1" applyFill="1" applyBorder="1" applyAlignment="1">
      <x:alignment horizontal="center" vertical="top" wrapText="1"/>
    </x:xf>
    <x:xf numFmtId="0" fontId="11" fillId="58" borderId="18" xfId="0" applyNumberFormat="1" applyFont="1" applyFill="1" applyBorder="1" applyAlignment="1">
      <x:alignment horizontal="center" vertical="top" wrapText="1"/>
    </x:xf>
    <x:xf numFmtId="0" fontId="11" fillId="59" borderId="21" xfId="0" applyNumberFormat="1" applyFont="1" applyFill="1" applyBorder="1" applyAlignment="1">
      <x:alignment horizontal="center" vertical="top" wrapText="1"/>
    </x:xf>
    <x:xf numFmtId="0" fontId="11" fillId="59" borderId="22" xfId="0" applyNumberFormat="1" applyFont="1" applyFill="1" applyBorder="1" applyAlignment="1">
      <x:alignment horizontal="center" vertical="top" wrapText="1"/>
    </x:xf>
    <x:xf numFmtId="201" fontId="11" fillId="59" borderId="22" xfId="0" applyNumberFormat="1" applyFont="1" applyFill="1" applyBorder="1" applyAlignment="1">
      <x:alignment horizontal="center" vertical="top" wrapText="1"/>
    </x:xf>
    <x:xf numFmtId="0" fontId="11" fillId="59" borderId="22" xfId="0" applyNumberFormat="1" applyFont="1" applyFill="1" applyBorder="1" applyAlignment="1">
      <x:alignment vertical="top" wrapText="1"/>
    </x:xf>
    <x:xf numFmtId="0" fontId="11" fillId="59" borderId="23" xfId="0" applyNumberFormat="1" applyFont="1" applyFill="1" applyBorder="1" applyAlignment="1">
      <x:alignment vertical="top" wrapText="1"/>
    </x:xf>
    <x:xf numFmtId="0" fontId="11" fillId="58" borderId="0" xfId="0" applyNumberFormat="1" applyFont="1" applyFill="1" applyBorder="1" applyAlignment="1">
      <x:alignment horizontal="center" vertical="top" wrapText="1"/>
    </x:xf>
    <x:xf numFmtId="201" fontId="11" fillId="58" borderId="0" xfId="0" applyNumberFormat="1" applyFont="1" applyFill="1" applyBorder="1" applyAlignment="1">
      <x:alignment horizontal="center" vertical="top" wrapText="1"/>
    </x:xf>
    <x:xf numFmtId="0" fontId="11" fillId="58" borderId="0" xfId="0" applyNumberFormat="1" applyFont="1" applyFill="1" applyBorder="1" applyAlignment="1">
      <x:alignment vertical="top" wrapText="1"/>
    </x:xf>
    <x:xf numFmtId="0" fontId="11" fillId="59" borderId="0" xfId="0" applyNumberFormat="1" applyFont="1" applyFill="1" applyBorder="1" applyAlignment="1">
      <x:alignment horizontal="center" vertical="top" wrapText="1"/>
    </x:xf>
    <x:xf numFmtId="201" fontId="11" fillId="59" borderId="0" xfId="0" applyNumberFormat="1" applyFont="1" applyFill="1" applyBorder="1" applyAlignment="1">
      <x:alignment horizontal="center" vertical="top" wrapText="1"/>
    </x:xf>
    <x:xf numFmtId="0" fontId="11" fillId="59" borderId="0" xfId="0" applyNumberFormat="1" applyFont="1" applyFill="1" applyBorder="1" applyAlignment="1">
      <x:alignment vertical="top" wrapText="1"/>
    </x:xf>
    <x:xf numFmtId="0" fontId="11" fillId="60" borderId="15" xfId="0" applyNumberFormat="1" applyFont="1" applyFill="1" applyBorder="1" applyAlignment="1">
      <x:alignment horizontal="center" vertical="top" wrapText="1"/>
    </x:xf>
    <x:xf numFmtId="201" fontId="11" fillId="60" borderId="16" xfId="0" applyNumberFormat="1" applyFont="1" applyFill="1" applyBorder="1" applyAlignment="1">
      <x:alignment horizontal="center" vertical="top" wrapText="1"/>
    </x:xf>
    <x:xf numFmtId="0" fontId="11" fillId="60" borderId="16" xfId="0" applyNumberFormat="1" applyFont="1" applyFill="1" applyBorder="1" applyAlignment="1">
      <x:alignment horizontal="center" vertical="top" wrapText="1"/>
    </x:xf>
    <x:xf numFmtId="0" fontId="11" fillId="60" borderId="16" xfId="0" applyNumberFormat="1" applyFont="1" applyFill="1" applyBorder="1" applyAlignment="1">
      <x:alignment vertical="top" wrapText="1"/>
    </x:xf>
    <x:xf numFmtId="0" fontId="11" fillId="60" borderId="17" xfId="0" applyNumberFormat="1" applyFont="1" applyFill="1" applyBorder="1" applyAlignment="1">
      <x:alignment horizontal="center" vertical="top" wrapText="1"/>
    </x:xf>
    <x:xf numFmtId="0" fontId="11" fillId="58" borderId="15" xfId="0" applyNumberFormat="1" applyFont="1" applyFill="1" applyBorder="1" applyAlignment="1">
      <x:alignment horizontal="center" vertical="top" wrapText="1"/>
    </x:xf>
    <x:xf numFmtId="0" fontId="11" fillId="61" borderId="15" xfId="0" applyNumberFormat="1" applyFont="1" applyFill="1" applyBorder="1" applyAlignment="1">
      <x:alignment horizontal="center" vertical="top" wrapText="1"/>
    </x:xf>
    <x:xf numFmtId="0" fontId="11" fillId="61" borderId="16" xfId="0" applyNumberFormat="1" applyFont="1" applyFill="1" applyBorder="1" applyAlignment="1">
      <x:alignment horizontal="center" vertical="top" wrapText="1"/>
    </x:xf>
    <x:xf numFmtId="0" fontId="11" fillId="61" borderId="16" xfId="0" applyNumberFormat="1" applyFont="1" applyFill="1" applyBorder="1" applyAlignment="1">
      <x:alignment vertical="top" wrapText="1"/>
    </x:xf>
    <x:xf numFmtId="0" fontId="11" fillId="61" borderId="17" xfId="0" applyNumberFormat="1" applyFont="1" applyFill="1" applyBorder="1" applyAlignment="1">
      <x:alignment vertical="top" wrapText="1"/>
    </x:xf>
    <x:xf numFmtId="0" fontId="11" fillId="61" borderId="18" xfId="0" applyNumberFormat="1" applyFont="1" applyFill="1" applyBorder="1" applyAlignment="1">
      <x:alignment horizontal="center" vertical="top" wrapText="1"/>
    </x:xf>
    <x:xf numFmtId="0" fontId="11" fillId="61" borderId="19" xfId="0" applyNumberFormat="1" applyFont="1" applyFill="1" applyBorder="1" applyAlignment="1">
      <x:alignment horizontal="center" vertical="top" wrapText="1"/>
    </x:xf>
    <x:xf numFmtId="0" fontId="11" fillId="61" borderId="19" xfId="0" applyNumberFormat="1" applyFont="1" applyFill="1" applyBorder="1" applyAlignment="1">
      <x:alignment vertical="top" wrapText="1"/>
    </x:xf>
    <x:xf numFmtId="0" fontId="11" fillId="61" borderId="20" xfId="0" applyNumberFormat="1" applyFont="1" applyFill="1" applyBorder="1" applyAlignment="1">
      <x:alignment vertical="top" wrapText="1"/>
    </x:xf>
    <x:xf numFmtId="0" fontId="11" fillId="61" borderId="0" xfId="0" applyNumberFormat="1" applyFont="1" applyFill="1" applyBorder="1" applyAlignment="1">
      <x:alignment horizontal="center" vertical="top" wrapText="1"/>
    </x:xf>
    <x:xf numFmtId="0" fontId="11" fillId="61" borderId="0" xfId="0" applyNumberFormat="1" applyFont="1" applyFill="1" applyBorder="1" applyAlignment="1">
      <x:alignment vertical="top" wrapText="1"/>
    </x:xf>
    <x:xf numFmtId="200" fontId="11" fillId="58" borderId="16" xfId="0" applyNumberFormat="1" applyFont="1" applyFill="1" applyBorder="1" applyAlignment="1">
      <x:alignment horizontal="center" vertical="top" wrapText="1"/>
    </x:xf>
    <x:xf numFmtId="200" fontId="11" fillId="59" borderId="19" xfId="0" applyNumberFormat="1" applyFont="1" applyFill="1" applyBorder="1" applyAlignment="1">
      <x:alignment horizontal="center" vertical="top" wrapText="1"/>
    </x:xf>
    <x:xf numFmtId="200" fontId="11" fillId="58" borderId="19" xfId="0" applyNumberFormat="1" applyFont="1" applyFill="1" applyBorder="1" applyAlignment="1">
      <x:alignment horizontal="center" vertical="top" wrapText="1"/>
    </x:xf>
    <x:xf numFmtId="0" fontId="1" fillId="62" borderId="0" xfId="0" applyNumberFormat="1" applyFont="1" applyFill="1" applyBorder="1" applyAlignment="1">
      <x:alignment horizontal="left" vertical="center"/>
    </x:xf>
    <x:xf numFmtId="0" fontId="14" fillId="58" borderId="11" xfId="0" applyNumberFormat="1" applyFont="1" applyFill="1" applyBorder="1" applyAlignment="1">
      <x:alignment vertical="center" wrapText="1"/>
    </x:xf>
    <x:xf numFmtId="202" fontId="13" fillId="58" borderId="11" xfId="0" applyNumberFormat="1" applyFont="1" applyFill="1" applyBorder="1" applyAlignment="1">
      <x:alignment vertical="center" wrapText="1"/>
    </x:xf>
    <x:xf numFmtId="0" fontId="13" fillId="58" borderId="11" xfId="0" applyNumberFormat="1" applyFont="1" applyFill="1" applyBorder="1" applyAlignment="1">
      <x:alignment vertical="center" wrapText="1"/>
    </x:xf>
    <x:xf numFmtId="0" fontId="15" fillId="63" borderId="0" xfId="0" applyNumberFormat="1" applyFont="1" applyFill="1" applyBorder="1" applyAlignment="1">
      <x:alignment vertical="center" wrapText="1"/>
    </x:xf>
    <x:xf numFmtId="0" fontId="16" fillId="58" borderId="11" xfId="0" applyNumberFormat="1" applyFont="1" applyFill="1" applyBorder="1" applyAlignment="1">
      <x:alignment horizontal="center" vertical="center"/>
    </x:xf>
    <x:xf numFmtId="0" fontId="16" fillId="59" borderId="11" xfId="0" applyNumberFormat="1" applyFont="1" applyFill="1" applyBorder="1" applyAlignment="1">
      <x:alignment horizontal="center" vertical="center"/>
    </x:xf>
    <x:xf numFmtId="203" fontId="16" fillId="59" borderId="11" xfId="0" applyNumberFormat="1" applyFont="1" applyFill="1" applyBorder="1" applyAlignment="1">
      <x:alignment horizontal="center" vertical="center"/>
    </x:xf>
    <x:xf numFmtId="0" fontId="17" fillId="64" borderId="12" xfId="0" applyNumberFormat="1" applyFont="1" applyFill="1" applyBorder="1" applyAlignment="1">
      <x:alignment vertical="center" wrapText="1"/>
    </x:xf>
    <x:xf numFmtId="0" fontId="18" fillId="65" borderId="13" xfId="0" applyNumberFormat="1" applyFont="1" applyFill="1" applyBorder="1" applyAlignment="1">
      <x:alignment horizontal="center" vertical="center" wrapText="1"/>
    </x:xf>
    <x:xf numFmtId="0" fontId="11" fillId="66" borderId="14" xfId="0" applyNumberFormat="1" applyFont="1" applyFill="1" applyBorder="1" applyAlignment="1">
      <x:alignment vertical="top" wrapText="1"/>
    </x:xf>
    <x:xf numFmtId="202" fontId="11" fillId="66" borderId="14" xfId="0" applyNumberFormat="1" applyFont="1" applyFill="1" applyBorder="1" applyAlignment="1">
      <x:alignment vertical="top" wrapText="1"/>
    </x:xf>
    <x:xf numFmtId="0" fontId="11" fillId="66" borderId="14" xfId="0" applyNumberFormat="1" applyFont="1" applyFill="1" applyBorder="1" applyAlignment="1">
      <x:alignment horizontal="center" vertical="top" wrapText="1"/>
    </x:xf>
    <x:xf numFmtId="0" fontId="11" fillId="59" borderId="14" xfId="0" applyNumberFormat="1" applyFont="1" applyFill="1" applyBorder="1" applyAlignment="1">
      <x:alignment vertical="top" wrapText="1"/>
    </x:xf>
    <x:xf numFmtId="202" fontId="11" fillId="59" borderId="14" xfId="0" applyNumberFormat="1" applyFont="1" applyFill="1" applyBorder="1" applyAlignment="1">
      <x:alignment vertical="top" wrapText="1"/>
    </x:xf>
    <x:xf numFmtId="0" fontId="11" fillId="59" borderId="14" xfId="0" applyNumberFormat="1" applyFont="1" applyFill="1" applyBorder="1" applyAlignment="1">
      <x:alignment horizontal="center" vertical="top" wrapText="1"/>
    </x:xf>
    <x:xf numFmtId="0" fontId="0" fillId="59" borderId="0" xfId="0" applyNumberFormat="1" applyFont="1" applyFill="1" applyBorder="1"/>
    <x:xf numFmtId="0" fontId="0" fillId="66" borderId="0" xfId="0" applyNumberFormat="1" applyFont="1" applyFill="1" applyBorder="1"/>
    <x:xf numFmtId="0" fontId="0" fillId="59" borderId="0" xfId="0" applyNumberFormat="1" applyFont="1" applyFill="1" applyBorder="1" applyAlignment="1">
      <x:alignment wrapText="1"/>
    </x:xf>
    <x:xf numFmtId="0" fontId="0" fillId="66" borderId="0" xfId="0" applyNumberFormat="1" applyFont="1" applyFill="1" applyBorder="1" applyAlignment="1">
      <x:alignment wrapText="1"/>
    </x:xf>
    <x:xf numFmtId="0" fontId="0" fillId="59" borderId="0" xfId="0" applyNumberFormat="1" applyFont="1" applyFill="1" applyBorder="1" applyAlignment="1">
      <x:alignment vertical="top" wrapText="1"/>
    </x:xf>
    <x:xf numFmtId="0" fontId="0" fillId="66" borderId="0" xfId="0" applyNumberFormat="1" applyFont="1" applyFill="1" applyBorder="1" applyAlignment="1">
      <x:alignment vertical="top" wrapText="1"/>
    </x:xf>
    <x:xf numFmtId="0" fontId="11" fillId="66" borderId="0" xfId="0" applyNumberFormat="1" applyFont="1" applyFill="1" applyBorder="1" applyAlignment="1">
      <x:alignment vertical="top" wrapText="1"/>
    </x:xf>
    <x:xf numFmtId="0" fontId="11" fillId="66" borderId="0" xfId="0" applyNumberFormat="1" applyFont="1" applyFill="1" applyBorder="1" applyAlignment="1">
      <x:alignment horizontal="center" vertical="top" wrapText="1"/>
    </x:xf>
    <x:xf numFmtId="0" fontId="1" fillId="62" borderId="0" xfId="0" applyNumberFormat="1" applyFont="1" applyFill="1" applyBorder="1" applyAlignment="1">
      <x:alignment vertical="center"/>
    </x:xf>
    <x:xf numFmtId="0" fontId="13" fillId="58" borderId="0" xfId="0" applyNumberFormat="1" applyFont="1" applyFill="1" applyBorder="1" applyAlignment="1">
      <x:alignment vertical="center" wrapText="1"/>
    </x:xf>
    <x:xf numFmtId="0" fontId="3" fillId="57" borderId="0" xfId="0" applyNumberFormat="1" applyFont="1" applyFill="1" applyBorder="1" applyAlignment="1">
      <x:alignment horizontal="center" vertical="center" wrapText="1"/>
    </x:xf>
    <x:xf numFmtId="0" fontId="20" fillId="18" borderId="10" xfId="0" applyNumberFormat="1" applyFont="1" applyFill="1" applyBorder="1" applyAlignment="1">
      <x:alignment vertical="top" wrapText="1"/>
    </x:xf>
    <x:xf numFmtId="0" fontId="20" fillId="18" borderId="10" xfId="0" applyNumberFormat="1" applyFont="1" applyFill="1" applyBorder="1"/>
    <x:xf numFmtId="0" fontId="20" fillId="18" borderId="10" xfId="0" applyNumberFormat="1" applyFont="1" applyFill="1" applyBorder="1" applyAlignment="1">
      <x:alignment wrapText="1"/>
    </x:xf>
    <x:xf numFmtId="0" fontId="20" fillId="18" borderId="10" xfId="0" applyNumberFormat="1" applyFont="1" applyFill="1" applyBorder="1" applyAlignment="1">
      <x:alignment vertical="center" wrapText="1"/>
    </x:xf>
    <x:xf numFmtId="0" fontId="20" fillId="67" borderId="10" xfId="0" applyNumberFormat="1" applyFont="1" applyFill="1" applyBorder="1" applyAlignment="1">
      <x:alignment vertical="top" wrapText="1"/>
    </x:xf>
    <x:xf numFmtId="0" fontId="20" fillId="67" borderId="10" xfId="0" applyNumberFormat="1" applyFont="1" applyFill="1" applyBorder="1"/>
    <x:xf numFmtId="0" fontId="20" fillId="67" borderId="10" xfId="0" applyNumberFormat="1" applyFont="1" applyFill="1" applyBorder="1" applyAlignment="1">
      <x:alignment wrapText="1"/>
    </x:xf>
    <x:xf numFmtId="0" fontId="20" fillId="67" borderId="10" xfId="0" applyNumberFormat="1" applyFont="1" applyFill="1" applyBorder="1" applyAlignment="1">
      <x:alignment vertical="center" wrapText="1"/>
    </x:xf>
    <x:xf numFmtId="0" fontId="23" fillId="67" borderId="10" xfId="0" applyNumberFormat="1" applyFont="1" applyFill="1" applyBorder="1" applyAlignment="1">
      <x:alignment vertical="top" wrapText="1"/>
    </x:xf>
    <x:xf numFmtId="0" fontId="23" fillId="67" borderId="10" xfId="0" applyNumberFormat="1" applyFont="1" applyFill="1" applyBorder="1"/>
    <x:xf numFmtId="0" fontId="23" fillId="67" borderId="10" xfId="0" applyNumberFormat="1" applyFont="1" applyFill="1" applyBorder="1" applyAlignment="1">
      <x:alignment wrapText="1"/>
    </x:xf>
    <x:xf numFmtId="0" fontId="23" fillId="67" borderId="10" xfId="0" applyNumberFormat="1" applyFont="1" applyFill="1" applyBorder="1" applyAlignment="1">
      <x:alignment vertical="center" wrapText="1"/>
    </x:xf>
    <x:xf numFmtId="0" fontId="3" fillId="68" borderId="1" xfId="0" applyNumberFormat="1" applyFont="1" applyFill="1" applyBorder="1" applyAlignment="1">
      <x:alignment horizontal="center" vertical="center" wrapText="1"/>
    </x:xf>
    <x:xf numFmtId="0" fontId="10" fillId="69" borderId="15" xfId="0" applyNumberFormat="1" applyFont="1" applyFill="1" applyBorder="1" applyAlignment="1">
      <x:alignment horizontal="center" vertical="top" wrapText="1"/>
    </x:xf>
    <x:xf numFmtId="0" fontId="11" fillId="69" borderId="16" xfId="0" applyNumberFormat="1" applyFont="1" applyFill="1" applyBorder="1" applyAlignment="1">
      <x:alignment horizontal="center" vertical="top" wrapText="1"/>
    </x:xf>
    <x:xf numFmtId="201" fontId="11" fillId="69" borderId="16" xfId="0" applyNumberFormat="1" applyFont="1" applyFill="1" applyBorder="1" applyAlignment="1">
      <x:alignment horizontal="center" vertical="top" wrapText="1"/>
    </x:xf>
    <x:xf numFmtId="0" fontId="11" fillId="69" borderId="16" xfId="0" applyNumberFormat="1" applyFont="1" applyFill="1" applyBorder="1" applyAlignment="1">
      <x:alignment vertical="top" wrapText="1"/>
    </x:xf>
    <x:xf numFmtId="0" fontId="11" fillId="69" borderId="17" xfId="0" applyNumberFormat="1" applyFont="1" applyFill="1" applyBorder="1" applyAlignment="1">
      <x:alignment vertical="top" wrapText="1"/>
    </x:xf>
    <x:xf numFmtId="0" fontId="11" fillId="70" borderId="18" xfId="0" applyNumberFormat="1" applyFont="1" applyFill="1" applyBorder="1" applyAlignment="1">
      <x:alignment horizontal="center" vertical="top" wrapText="1"/>
    </x:xf>
    <x:xf numFmtId="0" fontId="11" fillId="70" borderId="19" xfId="0" applyNumberFormat="1" applyFont="1" applyFill="1" applyBorder="1" applyAlignment="1">
      <x:alignment horizontal="center" vertical="top" wrapText="1"/>
    </x:xf>
    <x:xf numFmtId="201" fontId="11" fillId="70" borderId="19" xfId="0" applyNumberFormat="1" applyFont="1" applyFill="1" applyBorder="1" applyAlignment="1">
      <x:alignment horizontal="center" vertical="top" wrapText="1"/>
    </x:xf>
    <x:xf numFmtId="0" fontId="11" fillId="70" borderId="19" xfId="0" applyNumberFormat="1" applyFont="1" applyFill="1" applyBorder="1" applyAlignment="1">
      <x:alignment vertical="top" wrapText="1"/>
    </x:xf>
    <x:xf numFmtId="0" fontId="11" fillId="70" borderId="20" xfId="0" applyNumberFormat="1" applyFont="1" applyFill="1" applyBorder="1" applyAlignment="1">
      <x:alignment vertical="top" wrapText="1"/>
    </x:xf>
    <x:xf numFmtId="0" fontId="10" fillId="69" borderId="18" xfId="0" applyNumberFormat="1" applyFont="1" applyFill="1" applyBorder="1" applyAlignment="1">
      <x:alignment horizontal="center" vertical="top" wrapText="1"/>
    </x:xf>
    <x:xf numFmtId="0" fontId="11" fillId="69" borderId="19" xfId="0" applyNumberFormat="1" applyFont="1" applyFill="1" applyBorder="1" applyAlignment="1">
      <x:alignment horizontal="center" vertical="top" wrapText="1"/>
    </x:xf>
    <x:xf numFmtId="201" fontId="11" fillId="69" borderId="19" xfId="0" applyNumberFormat="1" applyFont="1" applyFill="1" applyBorder="1" applyAlignment="1">
      <x:alignment horizontal="center" vertical="top" wrapText="1"/>
    </x:xf>
    <x:xf numFmtId="0" fontId="11" fillId="69" borderId="19" xfId="0" applyNumberFormat="1" applyFont="1" applyFill="1" applyBorder="1" applyAlignment="1">
      <x:alignment vertical="top" wrapText="1"/>
    </x:xf>
    <x:xf numFmtId="0" fontId="11" fillId="69" borderId="20" xfId="0" applyNumberFormat="1" applyFont="1" applyFill="1" applyBorder="1" applyAlignment="1">
      <x:alignment vertical="top" wrapText="1"/>
    </x:xf>
    <x:xf numFmtId="0" fontId="10" fillId="70" borderId="18" xfId="0" applyNumberFormat="1" applyFont="1" applyFill="1" applyBorder="1" applyAlignment="1">
      <x:alignment horizontal="center" vertical="top" wrapText="1"/>
    </x:xf>
    <x:xf numFmtId="0" fontId="11" fillId="69" borderId="18" xfId="0" applyNumberFormat="1" applyFont="1" applyFill="1" applyBorder="1" applyAlignment="1">
      <x:alignment horizontal="center" vertical="top" wrapText="1"/>
    </x:xf>
    <x:xf numFmtId="0" fontId="11" fillId="70" borderId="21" xfId="0" applyNumberFormat="1" applyFont="1" applyFill="1" applyBorder="1" applyAlignment="1">
      <x:alignment horizontal="center" vertical="top" wrapText="1"/>
    </x:xf>
    <x:xf numFmtId="0" fontId="11" fillId="70" borderId="22" xfId="0" applyNumberFormat="1" applyFont="1" applyFill="1" applyBorder="1" applyAlignment="1">
      <x:alignment horizontal="center" vertical="top" wrapText="1"/>
    </x:xf>
    <x:xf numFmtId="201" fontId="11" fillId="70" borderId="22" xfId="0" applyNumberFormat="1" applyFont="1" applyFill="1" applyBorder="1" applyAlignment="1">
      <x:alignment horizontal="center" vertical="top" wrapText="1"/>
    </x:xf>
    <x:xf numFmtId="0" fontId="11" fillId="70" borderId="22" xfId="0" applyNumberFormat="1" applyFont="1" applyFill="1" applyBorder="1" applyAlignment="1">
      <x:alignment vertical="top" wrapText="1"/>
    </x:xf>
    <x:xf numFmtId="0" fontId="11" fillId="70" borderId="23" xfId="0" applyNumberFormat="1" applyFont="1" applyFill="1" applyBorder="1" applyAlignment="1">
      <x:alignment vertical="top" wrapText="1"/>
    </x:xf>
    <x:xf numFmtId="0" fontId="11" fillId="69" borderId="0" xfId="0" applyNumberFormat="1" applyFont="1" applyFill="1" applyBorder="1" applyAlignment="1">
      <x:alignment horizontal="center" vertical="top" wrapText="1"/>
    </x:xf>
    <x:xf numFmtId="201" fontId="11" fillId="69" borderId="0" xfId="0" applyNumberFormat="1" applyFont="1" applyFill="1" applyBorder="1" applyAlignment="1">
      <x:alignment horizontal="center" vertical="top" wrapText="1"/>
    </x:xf>
    <x:xf numFmtId="0" fontId="11" fillId="69" borderId="0" xfId="0" applyNumberFormat="1" applyFont="1" applyFill="1" applyBorder="1" applyAlignment="1">
      <x:alignment vertical="top" wrapText="1"/>
    </x:xf>
    <x:xf numFmtId="0" fontId="11" fillId="70" borderId="0" xfId="0" applyNumberFormat="1" applyFont="1" applyFill="1" applyBorder="1" applyAlignment="1">
      <x:alignment horizontal="center" vertical="top" wrapText="1"/>
    </x:xf>
    <x:xf numFmtId="201" fontId="11" fillId="70" borderId="0" xfId="0" applyNumberFormat="1" applyFont="1" applyFill="1" applyBorder="1" applyAlignment="1">
      <x:alignment horizontal="center" vertical="top" wrapText="1"/>
    </x:xf>
    <x:xf numFmtId="0" fontId="11" fillId="70" borderId="0" xfId="0" applyNumberFormat="1" applyFont="1" applyFill="1" applyBorder="1" applyAlignment="1">
      <x:alignment vertical="top" wrapText="1"/>
    </x:xf>
    <x:xf numFmtId="0" fontId="11" fillId="69" borderId="15" xfId="0" applyNumberFormat="1" applyFont="1" applyFill="1" applyBorder="1" applyAlignment="1">
      <x:alignment horizontal="center" vertical="top" wrapText="1"/>
    </x:xf>
    <x:xf numFmtId="0" fontId="11" fillId="71" borderId="15" xfId="0" applyNumberFormat="1" applyFont="1" applyFill="1" applyBorder="1" applyAlignment="1">
      <x:alignment horizontal="center" vertical="top" wrapText="1"/>
    </x:xf>
    <x:xf numFmtId="0" fontId="11" fillId="71" borderId="16" xfId="0" applyNumberFormat="1" applyFont="1" applyFill="1" applyBorder="1" applyAlignment="1">
      <x:alignment horizontal="center" vertical="top" wrapText="1"/>
    </x:xf>
    <x:xf numFmtId="0" fontId="11" fillId="71" borderId="16" xfId="0" applyNumberFormat="1" applyFont="1" applyFill="1" applyBorder="1" applyAlignment="1">
      <x:alignment vertical="top" wrapText="1"/>
    </x:xf>
    <x:xf numFmtId="0" fontId="11" fillId="71" borderId="17" xfId="0" applyNumberFormat="1" applyFont="1" applyFill="1" applyBorder="1" applyAlignment="1">
      <x:alignment vertical="top" wrapText="1"/>
    </x:xf>
    <x:xf numFmtId="0" fontId="11" fillId="71" borderId="18" xfId="0" applyNumberFormat="1" applyFont="1" applyFill="1" applyBorder="1" applyAlignment="1">
      <x:alignment horizontal="center" vertical="top" wrapText="1"/>
    </x:xf>
    <x:xf numFmtId="0" fontId="11" fillId="71" borderId="19" xfId="0" applyNumberFormat="1" applyFont="1" applyFill="1" applyBorder="1" applyAlignment="1">
      <x:alignment horizontal="center" vertical="top" wrapText="1"/>
    </x:xf>
    <x:xf numFmtId="0" fontId="11" fillId="71" borderId="19" xfId="0" applyNumberFormat="1" applyFont="1" applyFill="1" applyBorder="1" applyAlignment="1">
      <x:alignment vertical="top" wrapText="1"/>
    </x:xf>
    <x:xf numFmtId="0" fontId="11" fillId="71" borderId="20" xfId="0" applyNumberFormat="1" applyFont="1" applyFill="1" applyBorder="1" applyAlignment="1">
      <x:alignment vertical="top" wrapText="1"/>
    </x:xf>
    <x:xf numFmtId="0" fontId="11" fillId="71" borderId="0" xfId="0" applyNumberFormat="1" applyFont="1" applyFill="1" applyBorder="1" applyAlignment="1">
      <x:alignment horizontal="center" vertical="top" wrapText="1"/>
    </x:xf>
    <x:xf numFmtId="0" fontId="11" fillId="71" borderId="0" xfId="0" applyNumberFormat="1" applyFont="1" applyFill="1" applyBorder="1" applyAlignment="1">
      <x:alignment vertical="top" wrapText="1"/>
    </x:xf>
    <x:xf numFmtId="200" fontId="11" fillId="69" borderId="16" xfId="0" applyNumberFormat="1" applyFont="1" applyFill="1" applyBorder="1" applyAlignment="1">
      <x:alignment horizontal="center" vertical="top" wrapText="1"/>
    </x:xf>
    <x:xf numFmtId="200" fontId="11" fillId="70" borderId="19" xfId="0" applyNumberFormat="1" applyFont="1" applyFill="1" applyBorder="1" applyAlignment="1">
      <x:alignment horizontal="center" vertical="top" wrapText="1"/>
    </x:xf>
    <x:xf numFmtId="200" fontId="11" fillId="69" borderId="19" xfId="0" applyNumberFormat="1" applyFont="1" applyFill="1" applyBorder="1" applyAlignment="1">
      <x:alignment horizontal="center" vertical="top" wrapText="1"/>
    </x:xf>
    <x:xf numFmtId="0" fontId="1" fillId="72" borderId="0" xfId="0" applyNumberFormat="1" applyFont="1" applyFill="1" applyBorder="1" applyAlignment="1">
      <x:alignment horizontal="left" vertical="center"/>
    </x:xf>
    <x:xf numFmtId="0" fontId="14" fillId="69" borderId="11" xfId="0" applyNumberFormat="1" applyFont="1" applyFill="1" applyBorder="1" applyAlignment="1">
      <x:alignment vertical="center" wrapText="1"/>
    </x:xf>
    <x:xf numFmtId="202" fontId="13" fillId="69" borderId="11" xfId="0" applyNumberFormat="1" applyFont="1" applyFill="1" applyBorder="1" applyAlignment="1">
      <x:alignment vertical="center" wrapText="1"/>
    </x:xf>
    <x:xf numFmtId="0" fontId="13" fillId="69" borderId="11" xfId="0" applyNumberFormat="1" applyFont="1" applyFill="1" applyBorder="1" applyAlignment="1">
      <x:alignment vertical="center" wrapText="1"/>
    </x:xf>
    <x:xf numFmtId="0" fontId="15" fillId="73" borderId="0" xfId="0" applyNumberFormat="1" applyFont="1" applyFill="1" applyBorder="1" applyAlignment="1">
      <x:alignment vertical="center" wrapText="1"/>
    </x:xf>
    <x:xf numFmtId="0" fontId="16" fillId="69" borderId="11" xfId="0" applyNumberFormat="1" applyFont="1" applyFill="1" applyBorder="1" applyAlignment="1">
      <x:alignment horizontal="center" vertical="center"/>
    </x:xf>
    <x:xf numFmtId="0" fontId="16" fillId="70" borderId="11" xfId="0" applyNumberFormat="1" applyFont="1" applyFill="1" applyBorder="1" applyAlignment="1">
      <x:alignment horizontal="center" vertical="center"/>
    </x:xf>
    <x:xf numFmtId="203" fontId="16" fillId="70" borderId="11" xfId="0" applyNumberFormat="1" applyFont="1" applyFill="1" applyBorder="1" applyAlignment="1">
      <x:alignment horizontal="center" vertical="center"/>
    </x:xf>
    <x:xf numFmtId="0" fontId="17" fillId="74" borderId="12" xfId="0" applyNumberFormat="1" applyFont="1" applyFill="1" applyBorder="1" applyAlignment="1">
      <x:alignment vertical="center" wrapText="1"/>
    </x:xf>
    <x:xf numFmtId="0" fontId="18" fillId="75" borderId="13" xfId="0" applyNumberFormat="1" applyFont="1" applyFill="1" applyBorder="1" applyAlignment="1">
      <x:alignment horizontal="center" vertical="center" wrapText="1"/>
    </x:xf>
    <x:xf numFmtId="0" fontId="11" fillId="76" borderId="14" xfId="0" applyNumberFormat="1" applyFont="1" applyFill="1" applyBorder="1" applyAlignment="1">
      <x:alignment vertical="top" wrapText="1"/>
    </x:xf>
    <x:xf numFmtId="202" fontId="11" fillId="76" borderId="14" xfId="0" applyNumberFormat="1" applyFont="1" applyFill="1" applyBorder="1" applyAlignment="1">
      <x:alignment vertical="top" wrapText="1"/>
    </x:xf>
    <x:xf numFmtId="0" fontId="11" fillId="76" borderId="14" xfId="0" applyNumberFormat="1" applyFont="1" applyFill="1" applyBorder="1" applyAlignment="1">
      <x:alignment horizontal="center" vertical="top" wrapText="1"/>
    </x:xf>
    <x:xf numFmtId="0" fontId="11" fillId="70" borderId="14" xfId="0" applyNumberFormat="1" applyFont="1" applyFill="1" applyBorder="1" applyAlignment="1">
      <x:alignment vertical="top" wrapText="1"/>
    </x:xf>
    <x:xf numFmtId="202" fontId="11" fillId="70" borderId="14" xfId="0" applyNumberFormat="1" applyFont="1" applyFill="1" applyBorder="1" applyAlignment="1">
      <x:alignment vertical="top" wrapText="1"/>
    </x:xf>
    <x:xf numFmtId="0" fontId="11" fillId="70" borderId="14" xfId="0" applyNumberFormat="1" applyFont="1" applyFill="1" applyBorder="1" applyAlignment="1">
      <x:alignment horizontal="center" vertical="top" wrapText="1"/>
    </x:xf>
    <x:xf numFmtId="0" fontId="11" fillId="76" borderId="0" xfId="0" applyNumberFormat="1" applyFont="1" applyFill="1" applyBorder="1" applyAlignment="1">
      <x:alignment vertical="top" wrapText="1"/>
    </x:xf>
    <x:xf numFmtId="0" fontId="11" fillId="76" borderId="0" xfId="0" applyNumberFormat="1" applyFont="1" applyFill="1" applyBorder="1" applyAlignment="1">
      <x:alignment horizontal="center" vertical="top" wrapText="1"/>
    </x:xf>
    <x:xf numFmtId="0" fontId="1" fillId="72" borderId="0" xfId="0" applyNumberFormat="1" applyFont="1" applyFill="1" applyBorder="1" applyAlignment="1">
      <x:alignment vertical="center"/>
    </x:xf>
    <x:xf numFmtId="0" fontId="13" fillId="69" borderId="0" xfId="0" applyNumberFormat="1" applyFont="1" applyFill="1" applyBorder="1" applyAlignment="1">
      <x:alignment vertical="center" wrapText="1"/>
    </x:xf>
    <x:xf numFmtId="0" fontId="3" fillId="68" borderId="0" xfId="0" applyNumberFormat="1" applyFont="1" applyFill="1" applyBorder="1" applyAlignment="1">
      <x:alignment horizontal="center" vertical="center" wrapText="1"/>
    </x:xf>
    <x:xf numFmtId="0" fontId="20" fillId="77" borderId="10" xfId="0" applyNumberFormat="1" applyFont="1" applyFill="1" applyBorder="1" applyAlignment="1">
      <x:alignment vertical="top" wrapText="1"/>
    </x:xf>
    <x:xf numFmtId="0" fontId="20" fillId="77" borderId="10" xfId="0" applyNumberFormat="1" applyFont="1" applyFill="1" applyBorder="1"/>
    <x:xf numFmtId="0" fontId="20" fillId="77" borderId="10" xfId="0" applyNumberFormat="1" applyFont="1" applyFill="1" applyBorder="1" applyAlignment="1">
      <x:alignment wrapText="1"/>
    </x:xf>
    <x:xf numFmtId="0" fontId="20" fillId="77" borderId="10" xfId="0" applyNumberFormat="1" applyFont="1" applyFill="1" applyBorder="1" applyAlignment="1">
      <x:alignment vertical="center" wrapText="1"/>
    </x:xf>
    <x:xf numFmtId="0" fontId="24" fillId="77" borderId="10" xfId="0" applyNumberFormat="1" applyFont="1" applyFill="1" applyBorder="1" applyAlignment="1">
      <x:alignment vertical="top" wrapText="1"/>
    </x:xf>
    <x:xf numFmtId="0" fontId="24" fillId="77" borderId="10" xfId="0" applyNumberFormat="1" applyFont="1" applyFill="1" applyBorder="1"/>
    <x:xf numFmtId="0" fontId="24" fillId="77" borderId="10" xfId="0" applyNumberFormat="1" applyFont="1" applyFill="1" applyBorder="1" applyAlignment="1">
      <x:alignment wrapText="1"/>
    </x:xf>
    <x:xf numFmtId="0" fontId="24" fillId="77" borderId="10" xfId="0" applyNumberFormat="1" applyFont="1" applyFill="1" applyBorder="1" applyAlignment="1">
      <x:alignment vertical="center" wrapText="1"/>
    </x:xf>
    <x:xf numFmtId="0" fontId="11" fillId="8" borderId="16" xfId="0" applyNumberFormat="1" applyFont="1" applyFill="1" applyBorder="1" applyAlignment="1">
      <x:alignment horizontal="left" vertical="top" wrapText="1"/>
    </x:xf>
    <x:xf numFmtId="0" fontId="3" fillId="78" borderId="1" xfId="0" applyNumberFormat="1" applyFont="1" applyFill="1" applyBorder="1" applyAlignment="1">
      <x:alignment horizontal="center" vertical="center" wrapText="1"/>
    </x:xf>
    <x:xf numFmtId="0" fontId="10" fillId="79" borderId="15" xfId="0" applyNumberFormat="1" applyFont="1" applyFill="1" applyBorder="1" applyAlignment="1">
      <x:alignment horizontal="center" vertical="top" wrapText="1"/>
    </x:xf>
    <x:xf numFmtId="0" fontId="11" fillId="79" borderId="16" xfId="0" applyNumberFormat="1" applyFont="1" applyFill="1" applyBorder="1" applyAlignment="1">
      <x:alignment horizontal="center" vertical="top" wrapText="1"/>
    </x:xf>
    <x:xf numFmtId="201" fontId="11" fillId="79" borderId="16" xfId="0" applyNumberFormat="1" applyFont="1" applyFill="1" applyBorder="1" applyAlignment="1">
      <x:alignment horizontal="center" vertical="top" wrapText="1"/>
    </x:xf>
    <x:xf numFmtId="0" fontId="11" fillId="79" borderId="16" xfId="0" applyNumberFormat="1" applyFont="1" applyFill="1" applyBorder="1" applyAlignment="1">
      <x:alignment vertical="top" wrapText="1"/>
    </x:xf>
    <x:xf numFmtId="0" fontId="11" fillId="79" borderId="17" xfId="0" applyNumberFormat="1" applyFont="1" applyFill="1" applyBorder="1" applyAlignment="1">
      <x:alignment vertical="top" wrapText="1"/>
    </x:xf>
    <x:xf numFmtId="0" fontId="11" fillId="80" borderId="18" xfId="0" applyNumberFormat="1" applyFont="1" applyFill="1" applyBorder="1" applyAlignment="1">
      <x:alignment horizontal="center" vertical="top" wrapText="1"/>
    </x:xf>
    <x:xf numFmtId="0" fontId="11" fillId="80" borderId="19" xfId="0" applyNumberFormat="1" applyFont="1" applyFill="1" applyBorder="1" applyAlignment="1">
      <x:alignment horizontal="center" vertical="top" wrapText="1"/>
    </x:xf>
    <x:xf numFmtId="201" fontId="11" fillId="80" borderId="19" xfId="0" applyNumberFormat="1" applyFont="1" applyFill="1" applyBorder="1" applyAlignment="1">
      <x:alignment horizontal="center" vertical="top" wrapText="1"/>
    </x:xf>
    <x:xf numFmtId="0" fontId="11" fillId="80" borderId="19" xfId="0" applyNumberFormat="1" applyFont="1" applyFill="1" applyBorder="1" applyAlignment="1">
      <x:alignment vertical="top" wrapText="1"/>
    </x:xf>
    <x:xf numFmtId="0" fontId="11" fillId="80" borderId="20" xfId="0" applyNumberFormat="1" applyFont="1" applyFill="1" applyBorder="1" applyAlignment="1">
      <x:alignment vertical="top" wrapText="1"/>
    </x:xf>
    <x:xf numFmtId="0" fontId="10" fillId="79" borderId="18" xfId="0" applyNumberFormat="1" applyFont="1" applyFill="1" applyBorder="1" applyAlignment="1">
      <x:alignment horizontal="center" vertical="top" wrapText="1"/>
    </x:xf>
    <x:xf numFmtId="0" fontId="11" fillId="79" borderId="19" xfId="0" applyNumberFormat="1" applyFont="1" applyFill="1" applyBorder="1" applyAlignment="1">
      <x:alignment horizontal="center" vertical="top" wrapText="1"/>
    </x:xf>
    <x:xf numFmtId="201" fontId="11" fillId="79" borderId="19" xfId="0" applyNumberFormat="1" applyFont="1" applyFill="1" applyBorder="1" applyAlignment="1">
      <x:alignment horizontal="center" vertical="top" wrapText="1"/>
    </x:xf>
    <x:xf numFmtId="0" fontId="11" fillId="79" borderId="19" xfId="0" applyNumberFormat="1" applyFont="1" applyFill="1" applyBorder="1" applyAlignment="1">
      <x:alignment vertical="top" wrapText="1"/>
    </x:xf>
    <x:xf numFmtId="0" fontId="11" fillId="79" borderId="20" xfId="0" applyNumberFormat="1" applyFont="1" applyFill="1" applyBorder="1" applyAlignment="1">
      <x:alignment vertical="top" wrapText="1"/>
    </x:xf>
    <x:xf numFmtId="0" fontId="10" fillId="80" borderId="18" xfId="0" applyNumberFormat="1" applyFont="1" applyFill="1" applyBorder="1" applyAlignment="1">
      <x:alignment horizontal="center" vertical="top" wrapText="1"/>
    </x:xf>
    <x:xf numFmtId="0" fontId="11" fillId="79" borderId="18" xfId="0" applyNumberFormat="1" applyFont="1" applyFill="1" applyBorder="1" applyAlignment="1">
      <x:alignment horizontal="center" vertical="top" wrapText="1"/>
    </x:xf>
    <x:xf numFmtId="0" fontId="11" fillId="80" borderId="21" xfId="0" applyNumberFormat="1" applyFont="1" applyFill="1" applyBorder="1" applyAlignment="1">
      <x:alignment horizontal="center" vertical="top" wrapText="1"/>
    </x:xf>
    <x:xf numFmtId="0" fontId="11" fillId="80" borderId="22" xfId="0" applyNumberFormat="1" applyFont="1" applyFill="1" applyBorder="1" applyAlignment="1">
      <x:alignment horizontal="center" vertical="top" wrapText="1"/>
    </x:xf>
    <x:xf numFmtId="201" fontId="11" fillId="80" borderId="22" xfId="0" applyNumberFormat="1" applyFont="1" applyFill="1" applyBorder="1" applyAlignment="1">
      <x:alignment horizontal="center" vertical="top" wrapText="1"/>
    </x:xf>
    <x:xf numFmtId="0" fontId="11" fillId="80" borderId="22" xfId="0" applyNumberFormat="1" applyFont="1" applyFill="1" applyBorder="1" applyAlignment="1">
      <x:alignment vertical="top" wrapText="1"/>
    </x:xf>
    <x:xf numFmtId="0" fontId="11" fillId="80" borderId="23" xfId="0" applyNumberFormat="1" applyFont="1" applyFill="1" applyBorder="1" applyAlignment="1">
      <x:alignment vertical="top" wrapText="1"/>
    </x:xf>
    <x:xf numFmtId="0" fontId="11" fillId="79" borderId="0" xfId="0" applyNumberFormat="1" applyFont="1" applyFill="1" applyBorder="1" applyAlignment="1">
      <x:alignment horizontal="center" vertical="top" wrapText="1"/>
    </x:xf>
    <x:xf numFmtId="201" fontId="11" fillId="79" borderId="0" xfId="0" applyNumberFormat="1" applyFont="1" applyFill="1" applyBorder="1" applyAlignment="1">
      <x:alignment horizontal="center" vertical="top" wrapText="1"/>
    </x:xf>
    <x:xf numFmtId="0" fontId="11" fillId="79" borderId="0" xfId="0" applyNumberFormat="1" applyFont="1" applyFill="1" applyBorder="1" applyAlignment="1">
      <x:alignment vertical="top" wrapText="1"/>
    </x:xf>
    <x:xf numFmtId="0" fontId="11" fillId="80" borderId="0" xfId="0" applyNumberFormat="1" applyFont="1" applyFill="1" applyBorder="1" applyAlignment="1">
      <x:alignment horizontal="center" vertical="top" wrapText="1"/>
    </x:xf>
    <x:xf numFmtId="201" fontId="11" fillId="80" borderId="0" xfId="0" applyNumberFormat="1" applyFont="1" applyFill="1" applyBorder="1" applyAlignment="1">
      <x:alignment horizontal="center" vertical="top" wrapText="1"/>
    </x:xf>
    <x:xf numFmtId="0" fontId="11" fillId="80" borderId="0" xfId="0" applyNumberFormat="1" applyFont="1" applyFill="1" applyBorder="1" applyAlignment="1">
      <x:alignment vertical="top" wrapText="1"/>
    </x:xf>
    <x:xf numFmtId="0" fontId="11" fillId="79" borderId="15" xfId="0" applyNumberFormat="1" applyFont="1" applyFill="1" applyBorder="1" applyAlignment="1">
      <x:alignment horizontal="center" vertical="top" wrapText="1"/>
    </x:xf>
    <x:xf numFmtId="0" fontId="11" fillId="81" borderId="15" xfId="0" applyNumberFormat="1" applyFont="1" applyFill="1" applyBorder="1" applyAlignment="1">
      <x:alignment horizontal="center" vertical="top" wrapText="1"/>
    </x:xf>
    <x:xf numFmtId="0" fontId="11" fillId="81" borderId="16" xfId="0" applyNumberFormat="1" applyFont="1" applyFill="1" applyBorder="1" applyAlignment="1">
      <x:alignment horizontal="center" vertical="top" wrapText="1"/>
    </x:xf>
    <x:xf numFmtId="0" fontId="11" fillId="81" borderId="16" xfId="0" applyNumberFormat="1" applyFont="1" applyFill="1" applyBorder="1" applyAlignment="1">
      <x:alignment vertical="top" wrapText="1"/>
    </x:xf>
    <x:xf numFmtId="0" fontId="11" fillId="81" borderId="17" xfId="0" applyNumberFormat="1" applyFont="1" applyFill="1" applyBorder="1" applyAlignment="1">
      <x:alignment vertical="top" wrapText="1"/>
    </x:xf>
    <x:xf numFmtId="0" fontId="11" fillId="81" borderId="18" xfId="0" applyNumberFormat="1" applyFont="1" applyFill="1" applyBorder="1" applyAlignment="1">
      <x:alignment horizontal="center" vertical="top" wrapText="1"/>
    </x:xf>
    <x:xf numFmtId="0" fontId="11" fillId="81" borderId="19" xfId="0" applyNumberFormat="1" applyFont="1" applyFill="1" applyBorder="1" applyAlignment="1">
      <x:alignment horizontal="center" vertical="top" wrapText="1"/>
    </x:xf>
    <x:xf numFmtId="0" fontId="11" fillId="81" borderId="19" xfId="0" applyNumberFormat="1" applyFont="1" applyFill="1" applyBorder="1" applyAlignment="1">
      <x:alignment vertical="top" wrapText="1"/>
    </x:xf>
    <x:xf numFmtId="0" fontId="11" fillId="81" borderId="20" xfId="0" applyNumberFormat="1" applyFont="1" applyFill="1" applyBorder="1" applyAlignment="1">
      <x:alignment vertical="top" wrapText="1"/>
    </x:xf>
    <x:xf numFmtId="0" fontId="11" fillId="81" borderId="0" xfId="0" applyNumberFormat="1" applyFont="1" applyFill="1" applyBorder="1" applyAlignment="1">
      <x:alignment horizontal="center" vertical="top" wrapText="1"/>
    </x:xf>
    <x:xf numFmtId="0" fontId="11" fillId="81" borderId="0" xfId="0" applyNumberFormat="1" applyFont="1" applyFill="1" applyBorder="1" applyAlignment="1">
      <x:alignment vertical="top" wrapText="1"/>
    </x:xf>
    <x:xf numFmtId="200" fontId="11" fillId="79" borderId="16" xfId="0" applyNumberFormat="1" applyFont="1" applyFill="1" applyBorder="1" applyAlignment="1">
      <x:alignment horizontal="center" vertical="top" wrapText="1"/>
    </x:xf>
    <x:xf numFmtId="200" fontId="11" fillId="80" borderId="19" xfId="0" applyNumberFormat="1" applyFont="1" applyFill="1" applyBorder="1" applyAlignment="1">
      <x:alignment horizontal="center" vertical="top" wrapText="1"/>
    </x:xf>
    <x:xf numFmtId="200" fontId="11" fillId="79" borderId="19" xfId="0" applyNumberFormat="1" applyFont="1" applyFill="1" applyBorder="1" applyAlignment="1">
      <x:alignment horizontal="center" vertical="top" wrapText="1"/>
    </x:xf>
    <x:xf numFmtId="0" fontId="1" fillId="82" borderId="0" xfId="0" applyNumberFormat="1" applyFont="1" applyFill="1" applyBorder="1" applyAlignment="1">
      <x:alignment horizontal="left" vertical="center"/>
    </x:xf>
    <x:xf numFmtId="0" fontId="14" fillId="79" borderId="11" xfId="0" applyNumberFormat="1" applyFont="1" applyFill="1" applyBorder="1" applyAlignment="1">
      <x:alignment vertical="center" wrapText="1"/>
    </x:xf>
    <x:xf numFmtId="202" fontId="13" fillId="79" borderId="11" xfId="0" applyNumberFormat="1" applyFont="1" applyFill="1" applyBorder="1" applyAlignment="1">
      <x:alignment vertical="center" wrapText="1"/>
    </x:xf>
    <x:xf numFmtId="0" fontId="13" fillId="79" borderId="11" xfId="0" applyNumberFormat="1" applyFont="1" applyFill="1" applyBorder="1" applyAlignment="1">
      <x:alignment vertical="center" wrapText="1"/>
    </x:xf>
    <x:xf numFmtId="0" fontId="15" fillId="83" borderId="0" xfId="0" applyNumberFormat="1" applyFont="1" applyFill="1" applyBorder="1" applyAlignment="1">
      <x:alignment vertical="center" wrapText="1"/>
    </x:xf>
    <x:xf numFmtId="0" fontId="16" fillId="79" borderId="11" xfId="0" applyNumberFormat="1" applyFont="1" applyFill="1" applyBorder="1" applyAlignment="1">
      <x:alignment horizontal="center" vertical="center"/>
    </x:xf>
    <x:xf numFmtId="0" fontId="16" fillId="80" borderId="11" xfId="0" applyNumberFormat="1" applyFont="1" applyFill="1" applyBorder="1" applyAlignment="1">
      <x:alignment horizontal="center" vertical="center"/>
    </x:xf>
    <x:xf numFmtId="203" fontId="16" fillId="80" borderId="11" xfId="0" applyNumberFormat="1" applyFont="1" applyFill="1" applyBorder="1" applyAlignment="1">
      <x:alignment horizontal="center" vertical="center"/>
    </x:xf>
    <x:xf numFmtId="0" fontId="17" fillId="84" borderId="12" xfId="0" applyNumberFormat="1" applyFont="1" applyFill="1" applyBorder="1" applyAlignment="1">
      <x:alignment vertical="center" wrapText="1"/>
    </x:xf>
    <x:xf numFmtId="0" fontId="18" fillId="85" borderId="13" xfId="0" applyNumberFormat="1" applyFont="1" applyFill="1" applyBorder="1" applyAlignment="1">
      <x:alignment horizontal="center" vertical="center" wrapText="1"/>
    </x:xf>
    <x:xf numFmtId="0" fontId="11" fillId="86" borderId="14" xfId="0" applyNumberFormat="1" applyFont="1" applyFill="1" applyBorder="1" applyAlignment="1">
      <x:alignment vertical="top" wrapText="1"/>
    </x:xf>
    <x:xf numFmtId="202" fontId="11" fillId="86" borderId="14" xfId="0" applyNumberFormat="1" applyFont="1" applyFill="1" applyBorder="1" applyAlignment="1">
      <x:alignment vertical="top" wrapText="1"/>
    </x:xf>
    <x:xf numFmtId="0" fontId="11" fillId="86" borderId="14" xfId="0" applyNumberFormat="1" applyFont="1" applyFill="1" applyBorder="1" applyAlignment="1">
      <x:alignment horizontal="center" vertical="top" wrapText="1"/>
    </x:xf>
    <x:xf numFmtId="0" fontId="11" fillId="80" borderId="14" xfId="0" applyNumberFormat="1" applyFont="1" applyFill="1" applyBorder="1" applyAlignment="1">
      <x:alignment vertical="top" wrapText="1"/>
    </x:xf>
    <x:xf numFmtId="202" fontId="11" fillId="80" borderId="14" xfId="0" applyNumberFormat="1" applyFont="1" applyFill="1" applyBorder="1" applyAlignment="1">
      <x:alignment vertical="top" wrapText="1"/>
    </x:xf>
    <x:xf numFmtId="0" fontId="11" fillId="80" borderId="14" xfId="0" applyNumberFormat="1" applyFont="1" applyFill="1" applyBorder="1" applyAlignment="1">
      <x:alignment horizontal="center" vertical="top" wrapText="1"/>
    </x:xf>
    <x:xf numFmtId="0" fontId="11" fillId="86" borderId="0" xfId="0" applyNumberFormat="1" applyFont="1" applyFill="1" applyBorder="1" applyAlignment="1">
      <x:alignment vertical="top" wrapText="1"/>
    </x:xf>
    <x:xf numFmtId="0" fontId="11" fillId="86" borderId="0" xfId="0" applyNumberFormat="1" applyFont="1" applyFill="1" applyBorder="1" applyAlignment="1">
      <x:alignment horizontal="center" vertical="top" wrapText="1"/>
    </x:xf>
    <x:xf numFmtId="0" fontId="0" fillId="80" borderId="0" xfId="0" applyNumberFormat="1" applyFont="1" applyFill="1" applyBorder="1"/>
    <x:xf numFmtId="0" fontId="0" fillId="86" borderId="0" xfId="0" applyNumberFormat="1" applyFont="1" applyFill="1" applyBorder="1"/>
    <x:xf numFmtId="0" fontId="0" fillId="80" borderId="0" xfId="0" applyNumberFormat="1" applyFont="1" applyFill="1" applyBorder="1" applyAlignment="1">
      <x:alignment wrapText="1"/>
    </x:xf>
    <x:xf numFmtId="0" fontId="0" fillId="86" borderId="0" xfId="0" applyNumberFormat="1" applyFont="1" applyFill="1" applyBorder="1" applyAlignment="1">
      <x:alignment wrapText="1"/>
    </x:xf>
    <x:xf numFmtId="0" fontId="0" fillId="80" borderId="0" xfId="0" applyNumberFormat="1" applyFont="1" applyFill="1" applyBorder="1" applyAlignment="1">
      <x:alignment vertical="top" wrapText="1"/>
    </x:xf>
    <x:xf numFmtId="0" fontId="0" fillId="86" borderId="0" xfId="0" applyNumberFormat="1" applyFont="1" applyFill="1" applyBorder="1" applyAlignment="1">
      <x:alignment vertical="top" wrapText="1"/>
    </x:xf>
    <x:xf numFmtId="0" fontId="1" fillId="82" borderId="0" xfId="0" applyNumberFormat="1" applyFont="1" applyFill="1" applyBorder="1" applyAlignment="1">
      <x:alignment vertical="center"/>
    </x:xf>
    <x:xf numFmtId="0" fontId="13" fillId="79" borderId="0" xfId="0" applyNumberFormat="1" applyFont="1" applyFill="1" applyBorder="1" applyAlignment="1">
      <x:alignment vertical="center" wrapText="1"/>
    </x:xf>
    <x:xf numFmtId="0" fontId="3" fillId="78" borderId="0" xfId="0" applyNumberFormat="1" applyFont="1" applyFill="1" applyBorder="1" applyAlignment="1">
      <x:alignment horizontal="center" vertical="center" wrapText="1"/>
    </x:xf>
    <x:xf numFmtId="0" fontId="20" fillId="87" borderId="10" xfId="0" applyNumberFormat="1" applyFont="1" applyFill="1" applyBorder="1" applyAlignment="1">
      <x:alignment vertical="top" wrapText="1"/>
    </x:xf>
    <x:xf numFmtId="0" fontId="20" fillId="87" borderId="10" xfId="0" applyNumberFormat="1" applyFont="1" applyFill="1" applyBorder="1"/>
    <x:xf numFmtId="0" fontId="20" fillId="87" borderId="10" xfId="0" applyNumberFormat="1" applyFont="1" applyFill="1" applyBorder="1" applyAlignment="1">
      <x:alignment wrapText="1"/>
    </x:xf>
    <x:xf numFmtId="0" fontId="20" fillId="87" borderId="10" xfId="0" applyNumberFormat="1" applyFont="1" applyFill="1" applyBorder="1" applyAlignment="1">
      <x:alignment vertical="center" wrapText="1"/>
    </x:xf>
    <x:xf numFmtId="0" fontId="25" fillId="87" borderId="10" xfId="0" applyNumberFormat="1" applyFont="1" applyFill="1" applyBorder="1" applyAlignment="1">
      <x:alignment vertical="top" wrapText="1"/>
    </x:xf>
    <x:xf numFmtId="0" fontId="25" fillId="87" borderId="10" xfId="0" applyNumberFormat="1" applyFont="1" applyFill="1" applyBorder="1"/>
    <x:xf numFmtId="0" fontId="25" fillId="87" borderId="10" xfId="0" applyNumberFormat="1" applyFont="1" applyFill="1" applyBorder="1" applyAlignment="1">
      <x:alignment wrapText="1"/>
    </x:xf>
    <x:xf numFmtId="0" fontId="25" fillId="87" borderId="1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horizontal="left" vertical="top" wrapText="1"/>
    </x:xf>
    <x:xf numFmtId="0" fontId="3" fillId="88" borderId="1" xfId="0" applyNumberFormat="1" applyFont="1" applyFill="1" applyBorder="1" applyAlignment="1">
      <x:alignment horizontal="center" vertical="center" wrapText="1"/>
    </x:xf>
    <x:xf numFmtId="0" fontId="10" fillId="89" borderId="15" xfId="0" applyNumberFormat="1" applyFont="1" applyFill="1" applyBorder="1" applyAlignment="1">
      <x:alignment horizontal="center" vertical="top" wrapText="1"/>
    </x:xf>
    <x:xf numFmtId="0" fontId="11" fillId="89" borderId="16" xfId="0" applyNumberFormat="1" applyFont="1" applyFill="1" applyBorder="1" applyAlignment="1">
      <x:alignment horizontal="center" vertical="top" wrapText="1"/>
    </x:xf>
    <x:xf numFmtId="201" fontId="11" fillId="89" borderId="16" xfId="0" applyNumberFormat="1" applyFont="1" applyFill="1" applyBorder="1" applyAlignment="1">
      <x:alignment horizontal="center" vertical="top" wrapText="1"/>
    </x:xf>
    <x:xf numFmtId="0" fontId="11" fillId="89" borderId="16" xfId="0" applyNumberFormat="1" applyFont="1" applyFill="1" applyBorder="1" applyAlignment="1">
      <x:alignment vertical="top" wrapText="1"/>
    </x:xf>
    <x:xf numFmtId="0" fontId="11" fillId="89" borderId="17" xfId="0" applyNumberFormat="1" applyFont="1" applyFill="1" applyBorder="1" applyAlignment="1">
      <x:alignment vertical="top" wrapText="1"/>
    </x:xf>
    <x:xf numFmtId="0" fontId="11" fillId="90" borderId="18" xfId="0" applyNumberFormat="1" applyFont="1" applyFill="1" applyBorder="1" applyAlignment="1">
      <x:alignment horizontal="center" vertical="top" wrapText="1"/>
    </x:xf>
    <x:xf numFmtId="0" fontId="11" fillId="90" borderId="19" xfId="0" applyNumberFormat="1" applyFont="1" applyFill="1" applyBorder="1" applyAlignment="1">
      <x:alignment horizontal="center" vertical="top" wrapText="1"/>
    </x:xf>
    <x:xf numFmtId="201" fontId="11" fillId="90" borderId="19" xfId="0" applyNumberFormat="1" applyFont="1" applyFill="1" applyBorder="1" applyAlignment="1">
      <x:alignment horizontal="center" vertical="top" wrapText="1"/>
    </x:xf>
    <x:xf numFmtId="0" fontId="11" fillId="90" borderId="19" xfId="0" applyNumberFormat="1" applyFont="1" applyFill="1" applyBorder="1" applyAlignment="1">
      <x:alignment vertical="top" wrapText="1"/>
    </x:xf>
    <x:xf numFmtId="0" fontId="11" fillId="90" borderId="20" xfId="0" applyNumberFormat="1" applyFont="1" applyFill="1" applyBorder="1" applyAlignment="1">
      <x:alignment vertical="top" wrapText="1"/>
    </x:xf>
    <x:xf numFmtId="0" fontId="10" fillId="89" borderId="18" xfId="0" applyNumberFormat="1" applyFont="1" applyFill="1" applyBorder="1" applyAlignment="1">
      <x:alignment horizontal="center" vertical="top" wrapText="1"/>
    </x:xf>
    <x:xf numFmtId="0" fontId="11" fillId="89" borderId="19" xfId="0" applyNumberFormat="1" applyFont="1" applyFill="1" applyBorder="1" applyAlignment="1">
      <x:alignment horizontal="center" vertical="top" wrapText="1"/>
    </x:xf>
    <x:xf numFmtId="201" fontId="11" fillId="89" borderId="19" xfId="0" applyNumberFormat="1" applyFont="1" applyFill="1" applyBorder="1" applyAlignment="1">
      <x:alignment horizontal="center" vertical="top" wrapText="1"/>
    </x:xf>
    <x:xf numFmtId="0" fontId="11" fillId="89" borderId="19" xfId="0" applyNumberFormat="1" applyFont="1" applyFill="1" applyBorder="1" applyAlignment="1">
      <x:alignment vertical="top" wrapText="1"/>
    </x:xf>
    <x:xf numFmtId="0" fontId="11" fillId="89" borderId="20" xfId="0" applyNumberFormat="1" applyFont="1" applyFill="1" applyBorder="1" applyAlignment="1">
      <x:alignment vertical="top" wrapText="1"/>
    </x:xf>
    <x:xf numFmtId="0" fontId="10" fillId="90" borderId="18" xfId="0" applyNumberFormat="1" applyFont="1" applyFill="1" applyBorder="1" applyAlignment="1">
      <x:alignment horizontal="center" vertical="top" wrapText="1"/>
    </x:xf>
    <x:xf numFmtId="0" fontId="11" fillId="89" borderId="18" xfId="0" applyNumberFormat="1" applyFont="1" applyFill="1" applyBorder="1" applyAlignment="1">
      <x:alignment horizontal="center" vertical="top" wrapText="1"/>
    </x:xf>
    <x:xf numFmtId="0" fontId="11" fillId="90" borderId="21" xfId="0" applyNumberFormat="1" applyFont="1" applyFill="1" applyBorder="1" applyAlignment="1">
      <x:alignment horizontal="center" vertical="top" wrapText="1"/>
    </x:xf>
    <x:xf numFmtId="0" fontId="11" fillId="90" borderId="22" xfId="0" applyNumberFormat="1" applyFont="1" applyFill="1" applyBorder="1" applyAlignment="1">
      <x:alignment horizontal="center" vertical="top" wrapText="1"/>
    </x:xf>
    <x:xf numFmtId="201" fontId="11" fillId="90" borderId="22" xfId="0" applyNumberFormat="1" applyFont="1" applyFill="1" applyBorder="1" applyAlignment="1">
      <x:alignment horizontal="center" vertical="top" wrapText="1"/>
    </x:xf>
    <x:xf numFmtId="0" fontId="11" fillId="90" borderId="22" xfId="0" applyNumberFormat="1" applyFont="1" applyFill="1" applyBorder="1" applyAlignment="1">
      <x:alignment vertical="top" wrapText="1"/>
    </x:xf>
    <x:xf numFmtId="0" fontId="11" fillId="90" borderId="23" xfId="0" applyNumberFormat="1" applyFont="1" applyFill="1" applyBorder="1" applyAlignment="1">
      <x:alignment vertical="top" wrapText="1"/>
    </x:xf>
    <x:xf numFmtId="0" fontId="11" fillId="89" borderId="0" xfId="0" applyNumberFormat="1" applyFont="1" applyFill="1" applyBorder="1" applyAlignment="1">
      <x:alignment horizontal="center" vertical="top" wrapText="1"/>
    </x:xf>
    <x:xf numFmtId="201" fontId="11" fillId="89" borderId="0" xfId="0" applyNumberFormat="1" applyFont="1" applyFill="1" applyBorder="1" applyAlignment="1">
      <x:alignment horizontal="center" vertical="top" wrapText="1"/>
    </x:xf>
    <x:xf numFmtId="0" fontId="11" fillId="89" borderId="0" xfId="0" applyNumberFormat="1" applyFont="1" applyFill="1" applyBorder="1" applyAlignment="1">
      <x:alignment vertical="top" wrapText="1"/>
    </x:xf>
    <x:xf numFmtId="0" fontId="11" fillId="90" borderId="0" xfId="0" applyNumberFormat="1" applyFont="1" applyFill="1" applyBorder="1" applyAlignment="1">
      <x:alignment horizontal="center" vertical="top" wrapText="1"/>
    </x:xf>
    <x:xf numFmtId="201" fontId="11" fillId="90" borderId="0" xfId="0" applyNumberFormat="1" applyFont="1" applyFill="1" applyBorder="1" applyAlignment="1">
      <x:alignment horizontal="center" vertical="top" wrapText="1"/>
    </x:xf>
    <x:xf numFmtId="0" fontId="11" fillId="90" borderId="0" xfId="0" applyNumberFormat="1" applyFont="1" applyFill="1" applyBorder="1" applyAlignment="1">
      <x:alignment vertical="top" wrapText="1"/>
    </x:xf>
    <x:xf numFmtId="0" fontId="11" fillId="89" borderId="15" xfId="0" applyNumberFormat="1" applyFont="1" applyFill="1" applyBorder="1" applyAlignment="1">
      <x:alignment horizontal="center" vertical="top" wrapText="1"/>
    </x:xf>
    <x:xf numFmtId="0" fontId="11" fillId="91" borderId="15" xfId="0" applyNumberFormat="1" applyFont="1" applyFill="1" applyBorder="1" applyAlignment="1">
      <x:alignment horizontal="center" vertical="top" wrapText="1"/>
    </x:xf>
    <x:xf numFmtId="0" fontId="11" fillId="91" borderId="16" xfId="0" applyNumberFormat="1" applyFont="1" applyFill="1" applyBorder="1" applyAlignment="1">
      <x:alignment horizontal="center" vertical="top" wrapText="1"/>
    </x:xf>
    <x:xf numFmtId="0" fontId="11" fillId="91" borderId="16" xfId="0" applyNumberFormat="1" applyFont="1" applyFill="1" applyBorder="1" applyAlignment="1">
      <x:alignment vertical="top" wrapText="1"/>
    </x:xf>
    <x:xf numFmtId="0" fontId="11" fillId="91" borderId="17" xfId="0" applyNumberFormat="1" applyFont="1" applyFill="1" applyBorder="1" applyAlignment="1">
      <x:alignment vertical="top" wrapText="1"/>
    </x:xf>
    <x:xf numFmtId="0" fontId="11" fillId="91" borderId="18" xfId="0" applyNumberFormat="1" applyFont="1" applyFill="1" applyBorder="1" applyAlignment="1">
      <x:alignment horizontal="center" vertical="top" wrapText="1"/>
    </x:xf>
    <x:xf numFmtId="0" fontId="11" fillId="91" borderId="19" xfId="0" applyNumberFormat="1" applyFont="1" applyFill="1" applyBorder="1" applyAlignment="1">
      <x:alignment horizontal="center" vertical="top" wrapText="1"/>
    </x:xf>
    <x:xf numFmtId="0" fontId="11" fillId="91" borderId="19" xfId="0" applyNumberFormat="1" applyFont="1" applyFill="1" applyBorder="1" applyAlignment="1">
      <x:alignment vertical="top" wrapText="1"/>
    </x:xf>
    <x:xf numFmtId="0" fontId="11" fillId="91" borderId="20" xfId="0" applyNumberFormat="1" applyFont="1" applyFill="1" applyBorder="1" applyAlignment="1">
      <x:alignment vertical="top" wrapText="1"/>
    </x:xf>
    <x:xf numFmtId="0" fontId="11" fillId="91" borderId="0" xfId="0" applyNumberFormat="1" applyFont="1" applyFill="1" applyBorder="1" applyAlignment="1">
      <x:alignment horizontal="center" vertical="top" wrapText="1"/>
    </x:xf>
    <x:xf numFmtId="0" fontId="11" fillId="91" borderId="0" xfId="0" applyNumberFormat="1" applyFont="1" applyFill="1" applyBorder="1" applyAlignment="1">
      <x:alignment vertical="top" wrapText="1"/>
    </x:xf>
    <x:xf numFmtId="200" fontId="11" fillId="89" borderId="16" xfId="0" applyNumberFormat="1" applyFont="1" applyFill="1" applyBorder="1" applyAlignment="1">
      <x:alignment horizontal="center" vertical="top" wrapText="1"/>
    </x:xf>
    <x:xf numFmtId="200" fontId="11" fillId="90" borderId="19" xfId="0" applyNumberFormat="1" applyFont="1" applyFill="1" applyBorder="1" applyAlignment="1">
      <x:alignment horizontal="center" vertical="top" wrapText="1"/>
    </x:xf>
    <x:xf numFmtId="200" fontId="11" fillId="89" borderId="19" xfId="0" applyNumberFormat="1" applyFont="1" applyFill="1" applyBorder="1" applyAlignment="1">
      <x:alignment horizontal="center" vertical="top" wrapText="1"/>
    </x:xf>
    <x:xf numFmtId="0" fontId="1" fillId="92" borderId="0" xfId="0" applyNumberFormat="1" applyFont="1" applyFill="1" applyBorder="1" applyAlignment="1">
      <x:alignment horizontal="left" vertical="center"/>
    </x:xf>
    <x:xf numFmtId="0" fontId="14" fillId="89" borderId="11" xfId="0" applyNumberFormat="1" applyFont="1" applyFill="1" applyBorder="1" applyAlignment="1">
      <x:alignment vertical="center" wrapText="1"/>
    </x:xf>
    <x:xf numFmtId="202" fontId="13" fillId="89" borderId="11" xfId="0" applyNumberFormat="1" applyFont="1" applyFill="1" applyBorder="1" applyAlignment="1">
      <x:alignment vertical="center" wrapText="1"/>
    </x:xf>
    <x:xf numFmtId="0" fontId="13" fillId="89" borderId="11" xfId="0" applyNumberFormat="1" applyFont="1" applyFill="1" applyBorder="1" applyAlignment="1">
      <x:alignment vertical="center" wrapText="1"/>
    </x:xf>
    <x:xf numFmtId="0" fontId="15" fillId="93" borderId="0" xfId="0" applyNumberFormat="1" applyFont="1" applyFill="1" applyBorder="1" applyAlignment="1">
      <x:alignment vertical="center" wrapText="1"/>
    </x:xf>
    <x:xf numFmtId="0" fontId="16" fillId="89" borderId="11" xfId="0" applyNumberFormat="1" applyFont="1" applyFill="1" applyBorder="1" applyAlignment="1">
      <x:alignment horizontal="center" vertical="center"/>
    </x:xf>
    <x:xf numFmtId="0" fontId="16" fillId="90" borderId="11" xfId="0" applyNumberFormat="1" applyFont="1" applyFill="1" applyBorder="1" applyAlignment="1">
      <x:alignment horizontal="center" vertical="center"/>
    </x:xf>
    <x:xf numFmtId="203" fontId="16" fillId="90" borderId="11" xfId="0" applyNumberFormat="1" applyFont="1" applyFill="1" applyBorder="1" applyAlignment="1">
      <x:alignment horizontal="center" vertical="center"/>
    </x:xf>
    <x:xf numFmtId="0" fontId="17" fillId="94" borderId="12" xfId="0" applyNumberFormat="1" applyFont="1" applyFill="1" applyBorder="1" applyAlignment="1">
      <x:alignment vertical="center" wrapText="1"/>
    </x:xf>
    <x:xf numFmtId="0" fontId="18" fillId="95" borderId="13" xfId="0" applyNumberFormat="1" applyFont="1" applyFill="1" applyBorder="1" applyAlignment="1">
      <x:alignment horizontal="center" vertical="center" wrapText="1"/>
    </x:xf>
    <x:xf numFmtId="0" fontId="11" fillId="96" borderId="14" xfId="0" applyNumberFormat="1" applyFont="1" applyFill="1" applyBorder="1" applyAlignment="1">
      <x:alignment vertical="top" wrapText="1"/>
    </x:xf>
    <x:xf numFmtId="202" fontId="11" fillId="96" borderId="14" xfId="0" applyNumberFormat="1" applyFont="1" applyFill="1" applyBorder="1" applyAlignment="1">
      <x:alignment vertical="top" wrapText="1"/>
    </x:xf>
    <x:xf numFmtId="0" fontId="11" fillId="96" borderId="14" xfId="0" applyNumberFormat="1" applyFont="1" applyFill="1" applyBorder="1" applyAlignment="1">
      <x:alignment horizontal="center" vertical="top" wrapText="1"/>
    </x:xf>
    <x:xf numFmtId="0" fontId="11" fillId="90" borderId="14" xfId="0" applyNumberFormat="1" applyFont="1" applyFill="1" applyBorder="1" applyAlignment="1">
      <x:alignment vertical="top" wrapText="1"/>
    </x:xf>
    <x:xf numFmtId="202" fontId="11" fillId="90" borderId="14" xfId="0" applyNumberFormat="1" applyFont="1" applyFill="1" applyBorder="1" applyAlignment="1">
      <x:alignment vertical="top" wrapText="1"/>
    </x:xf>
    <x:xf numFmtId="0" fontId="11" fillId="90" borderId="14" xfId="0" applyNumberFormat="1" applyFont="1" applyFill="1" applyBorder="1" applyAlignment="1">
      <x:alignment horizontal="center" vertical="top" wrapText="1"/>
    </x:xf>
    <x:xf numFmtId="0" fontId="11" fillId="96" borderId="0" xfId="0" applyNumberFormat="1" applyFont="1" applyFill="1" applyBorder="1" applyAlignment="1">
      <x:alignment vertical="top" wrapText="1"/>
    </x:xf>
    <x:xf numFmtId="0" fontId="11" fillId="96" borderId="0" xfId="0" applyNumberFormat="1" applyFont="1" applyFill="1" applyBorder="1" applyAlignment="1">
      <x:alignment horizontal="center" vertical="top" wrapText="1"/>
    </x:xf>
    <x:xf numFmtId="0" fontId="0" fillId="96" borderId="0" xfId="0" applyNumberFormat="1" applyFont="1" applyFill="1" applyBorder="1"/>
    <x:xf numFmtId="0" fontId="0" fillId="96" borderId="0" xfId="0" applyNumberFormat="1" applyFont="1" applyFill="1" applyBorder="1" applyAlignment="1">
      <x:alignment wrapText="1"/>
    </x:xf>
    <x:xf numFmtId="0" fontId="0" fillId="96" borderId="0" xfId="0" applyNumberFormat="1" applyFont="1" applyFill="1" applyBorder="1" applyAlignment="1">
      <x:alignment vertical="top" wrapText="1"/>
    </x:xf>
    <x:xf numFmtId="0" fontId="1" fillId="92" borderId="0" xfId="0" applyNumberFormat="1" applyFont="1" applyFill="1" applyBorder="1" applyAlignment="1">
      <x:alignment vertical="center"/>
    </x:xf>
    <x:xf numFmtId="0" fontId="13" fillId="89" borderId="0" xfId="0" applyNumberFormat="1" applyFont="1" applyFill="1" applyBorder="1" applyAlignment="1">
      <x:alignment vertical="center" wrapText="1"/>
    </x:xf>
    <x:xf numFmtId="0" fontId="3" fillId="88" borderId="0" xfId="0" applyNumberFormat="1" applyFont="1" applyFill="1" applyBorder="1" applyAlignment="1">
      <x:alignment horizontal="center" vertical="center" wrapText="1"/>
    </x:xf>
    <x:xf numFmtId="0" fontId="20" fillId="97" borderId="10" xfId="0" applyNumberFormat="1" applyFont="1" applyFill="1" applyBorder="1" applyAlignment="1">
      <x:alignment vertical="top" wrapText="1"/>
    </x:xf>
    <x:xf numFmtId="0" fontId="20" fillId="97" borderId="10" xfId="0" applyNumberFormat="1" applyFont="1" applyFill="1" applyBorder="1"/>
    <x:xf numFmtId="0" fontId="20" fillId="97" borderId="10" xfId="0" applyNumberFormat="1" applyFont="1" applyFill="1" applyBorder="1" applyAlignment="1">
      <x:alignment wrapText="1"/>
    </x:xf>
    <x:xf numFmtId="0" fontId="20" fillId="97" borderId="10" xfId="0" applyNumberFormat="1" applyFont="1" applyFill="1" applyBorder="1" applyAlignment="1">
      <x:alignment vertical="center" wrapText="1"/>
    </x:xf>
    <x:xf numFmtId="0" fontId="26" fillId="97" borderId="10" xfId="0" applyNumberFormat="1" applyFont="1" applyFill="1" applyBorder="1" applyAlignment="1">
      <x:alignment vertical="top" wrapText="1"/>
    </x:xf>
    <x:xf numFmtId="0" fontId="26" fillId="97" borderId="10" xfId="0" applyNumberFormat="1" applyFont="1" applyFill="1" applyBorder="1"/>
    <x:xf numFmtId="0" fontId="26" fillId="97" borderId="10" xfId="0" applyNumberFormat="1" applyFont="1" applyFill="1" applyBorder="1" applyAlignment="1">
      <x:alignment wrapText="1"/>
    </x:xf>
    <x:xf numFmtId="0" fontId="26" fillId="97" borderId="10" xfId="0" applyNumberFormat="1" applyFont="1" applyFill="1" applyBorder="1" applyAlignment="1">
      <x:alignment vertical="center" wrapText="1"/>
    </x:xf>
    <x:xf numFmtId="0" fontId="3" fillId="98" borderId="1" xfId="0" applyNumberFormat="1" applyFont="1" applyFill="1" applyBorder="1" applyAlignment="1">
      <x:alignment horizontal="center" vertical="center" wrapText="1"/>
    </x:xf>
    <x:xf numFmtId="0" fontId="10" fillId="99" borderId="15" xfId="0" applyNumberFormat="1" applyFont="1" applyFill="1" applyBorder="1" applyAlignment="1">
      <x:alignment horizontal="center" vertical="top" wrapText="1"/>
    </x:xf>
    <x:xf numFmtId="0" fontId="11" fillId="99" borderId="16" xfId="0" applyNumberFormat="1" applyFont="1" applyFill="1" applyBorder="1" applyAlignment="1">
      <x:alignment horizontal="center" vertical="top" wrapText="1"/>
    </x:xf>
    <x:xf numFmtId="201" fontId="11" fillId="99" borderId="16" xfId="0" applyNumberFormat="1" applyFont="1" applyFill="1" applyBorder="1" applyAlignment="1">
      <x:alignment horizontal="center" vertical="top" wrapText="1"/>
    </x:xf>
    <x:xf numFmtId="0" fontId="11" fillId="99" borderId="16" xfId="0" applyNumberFormat="1" applyFont="1" applyFill="1" applyBorder="1" applyAlignment="1">
      <x:alignment vertical="top" wrapText="1"/>
    </x:xf>
    <x:xf numFmtId="0" fontId="11" fillId="99" borderId="17" xfId="0" applyNumberFormat="1" applyFont="1" applyFill="1" applyBorder="1" applyAlignment="1">
      <x:alignment vertical="top" wrapText="1"/>
    </x:xf>
    <x:xf numFmtId="0" fontId="11" fillId="100" borderId="18" xfId="0" applyNumberFormat="1" applyFont="1" applyFill="1" applyBorder="1" applyAlignment="1">
      <x:alignment horizontal="center" vertical="top" wrapText="1"/>
    </x:xf>
    <x:xf numFmtId="0" fontId="11" fillId="100" borderId="19" xfId="0" applyNumberFormat="1" applyFont="1" applyFill="1" applyBorder="1" applyAlignment="1">
      <x:alignment horizontal="center" vertical="top" wrapText="1"/>
    </x:xf>
    <x:xf numFmtId="201" fontId="11" fillId="100" borderId="19" xfId="0" applyNumberFormat="1" applyFont="1" applyFill="1" applyBorder="1" applyAlignment="1">
      <x:alignment horizontal="center" vertical="top" wrapText="1"/>
    </x:xf>
    <x:xf numFmtId="0" fontId="11" fillId="100" borderId="19" xfId="0" applyNumberFormat="1" applyFont="1" applyFill="1" applyBorder="1" applyAlignment="1">
      <x:alignment vertical="top" wrapText="1"/>
    </x:xf>
    <x:xf numFmtId="0" fontId="11" fillId="100" borderId="20" xfId="0" applyNumberFormat="1" applyFont="1" applyFill="1" applyBorder="1" applyAlignment="1">
      <x:alignment vertical="top" wrapText="1"/>
    </x:xf>
    <x:xf numFmtId="0" fontId="10" fillId="99" borderId="18" xfId="0" applyNumberFormat="1" applyFont="1" applyFill="1" applyBorder="1" applyAlignment="1">
      <x:alignment horizontal="center" vertical="top" wrapText="1"/>
    </x:xf>
    <x:xf numFmtId="0" fontId="11" fillId="99" borderId="19" xfId="0" applyNumberFormat="1" applyFont="1" applyFill="1" applyBorder="1" applyAlignment="1">
      <x:alignment horizontal="center" vertical="top" wrapText="1"/>
    </x:xf>
    <x:xf numFmtId="201" fontId="11" fillId="99" borderId="19" xfId="0" applyNumberFormat="1" applyFont="1" applyFill="1" applyBorder="1" applyAlignment="1">
      <x:alignment horizontal="center" vertical="top" wrapText="1"/>
    </x:xf>
    <x:xf numFmtId="0" fontId="11" fillId="99" borderId="19" xfId="0" applyNumberFormat="1" applyFont="1" applyFill="1" applyBorder="1" applyAlignment="1">
      <x:alignment vertical="top" wrapText="1"/>
    </x:xf>
    <x:xf numFmtId="0" fontId="11" fillId="99" borderId="20" xfId="0" applyNumberFormat="1" applyFont="1" applyFill="1" applyBorder="1" applyAlignment="1">
      <x:alignment vertical="top" wrapText="1"/>
    </x:xf>
    <x:xf numFmtId="0" fontId="10" fillId="100" borderId="18" xfId="0" applyNumberFormat="1" applyFont="1" applyFill="1" applyBorder="1" applyAlignment="1">
      <x:alignment horizontal="center" vertical="top" wrapText="1"/>
    </x:xf>
    <x:xf numFmtId="0" fontId="11" fillId="99" borderId="18" xfId="0" applyNumberFormat="1" applyFont="1" applyFill="1" applyBorder="1" applyAlignment="1">
      <x:alignment horizontal="center" vertical="top" wrapText="1"/>
    </x:xf>
    <x:xf numFmtId="0" fontId="11" fillId="100" borderId="21" xfId="0" applyNumberFormat="1" applyFont="1" applyFill="1" applyBorder="1" applyAlignment="1">
      <x:alignment horizontal="center" vertical="top" wrapText="1"/>
    </x:xf>
    <x:xf numFmtId="0" fontId="11" fillId="100" borderId="22" xfId="0" applyNumberFormat="1" applyFont="1" applyFill="1" applyBorder="1" applyAlignment="1">
      <x:alignment horizontal="center" vertical="top" wrapText="1"/>
    </x:xf>
    <x:xf numFmtId="201" fontId="11" fillId="100" borderId="22" xfId="0" applyNumberFormat="1" applyFont="1" applyFill="1" applyBorder="1" applyAlignment="1">
      <x:alignment horizontal="center" vertical="top" wrapText="1"/>
    </x:xf>
    <x:xf numFmtId="0" fontId="11" fillId="100" borderId="22" xfId="0" applyNumberFormat="1" applyFont="1" applyFill="1" applyBorder="1" applyAlignment="1">
      <x:alignment vertical="top" wrapText="1"/>
    </x:xf>
    <x:xf numFmtId="0" fontId="11" fillId="100" borderId="23" xfId="0" applyNumberFormat="1" applyFont="1" applyFill="1" applyBorder="1" applyAlignment="1">
      <x:alignment vertical="top" wrapText="1"/>
    </x:xf>
    <x:xf numFmtId="0" fontId="11" fillId="99" borderId="0" xfId="0" applyNumberFormat="1" applyFont="1" applyFill="1" applyBorder="1" applyAlignment="1">
      <x:alignment horizontal="center" vertical="top" wrapText="1"/>
    </x:xf>
    <x:xf numFmtId="201" fontId="11" fillId="99" borderId="0" xfId="0" applyNumberFormat="1" applyFont="1" applyFill="1" applyBorder="1" applyAlignment="1">
      <x:alignment horizontal="center" vertical="top" wrapText="1"/>
    </x:xf>
    <x:xf numFmtId="0" fontId="11" fillId="99" borderId="0" xfId="0" applyNumberFormat="1" applyFont="1" applyFill="1" applyBorder="1" applyAlignment="1">
      <x:alignment vertical="top" wrapText="1"/>
    </x:xf>
    <x:xf numFmtId="0" fontId="11" fillId="100" borderId="0" xfId="0" applyNumberFormat="1" applyFont="1" applyFill="1" applyBorder="1" applyAlignment="1">
      <x:alignment horizontal="center" vertical="top" wrapText="1"/>
    </x:xf>
    <x:xf numFmtId="201" fontId="11" fillId="100" borderId="0" xfId="0" applyNumberFormat="1" applyFont="1" applyFill="1" applyBorder="1" applyAlignment="1">
      <x:alignment horizontal="center" vertical="top" wrapText="1"/>
    </x:xf>
    <x:xf numFmtId="0" fontId="11" fillId="100" borderId="0" xfId="0" applyNumberFormat="1" applyFont="1" applyFill="1" applyBorder="1" applyAlignment="1">
      <x:alignment vertical="top" wrapText="1"/>
    </x:xf>
    <x:xf numFmtId="0" fontId="11" fillId="101" borderId="15" xfId="0" applyNumberFormat="1" applyFont="1" applyFill="1" applyBorder="1" applyAlignment="1">
      <x:alignment horizontal="center" vertical="top" wrapText="1"/>
    </x:xf>
    <x:xf numFmtId="201" fontId="11" fillId="101" borderId="16" xfId="0" applyNumberFormat="1" applyFont="1" applyFill="1" applyBorder="1" applyAlignment="1">
      <x:alignment horizontal="center" vertical="top" wrapText="1"/>
    </x:xf>
    <x:xf numFmtId="0" fontId="11" fillId="101" borderId="16" xfId="0" applyNumberFormat="1" applyFont="1" applyFill="1" applyBorder="1" applyAlignment="1">
      <x:alignment horizontal="center" vertical="top" wrapText="1"/>
    </x:xf>
    <x:xf numFmtId="0" fontId="11" fillId="101" borderId="16" xfId="0" applyNumberFormat="1" applyFont="1" applyFill="1" applyBorder="1" applyAlignment="1">
      <x:alignment vertical="top" wrapText="1"/>
    </x:xf>
    <x:xf numFmtId="0" fontId="11" fillId="101" borderId="17" xfId="0" applyNumberFormat="1" applyFont="1" applyFill="1" applyBorder="1" applyAlignment="1">
      <x:alignment horizontal="center" vertical="top" wrapText="1"/>
    </x:xf>
    <x:xf numFmtId="0" fontId="11" fillId="99" borderId="15" xfId="0" applyNumberFormat="1" applyFont="1" applyFill="1" applyBorder="1" applyAlignment="1">
      <x:alignment horizontal="center" vertical="top" wrapText="1"/>
    </x:xf>
    <x:xf numFmtId="0" fontId="11" fillId="102" borderId="15" xfId="0" applyNumberFormat="1" applyFont="1" applyFill="1" applyBorder="1" applyAlignment="1">
      <x:alignment horizontal="center" vertical="top" wrapText="1"/>
    </x:xf>
    <x:xf numFmtId="0" fontId="11" fillId="102" borderId="16" xfId="0" applyNumberFormat="1" applyFont="1" applyFill="1" applyBorder="1" applyAlignment="1">
      <x:alignment horizontal="center" vertical="top" wrapText="1"/>
    </x:xf>
    <x:xf numFmtId="0" fontId="11" fillId="102" borderId="16" xfId="0" applyNumberFormat="1" applyFont="1" applyFill="1" applyBorder="1" applyAlignment="1">
      <x:alignment vertical="top" wrapText="1"/>
    </x:xf>
    <x:xf numFmtId="0" fontId="11" fillId="102" borderId="17" xfId="0" applyNumberFormat="1" applyFont="1" applyFill="1" applyBorder="1" applyAlignment="1">
      <x:alignment vertical="top" wrapText="1"/>
    </x:xf>
    <x:xf numFmtId="0" fontId="11" fillId="102" borderId="18" xfId="0" applyNumberFormat="1" applyFont="1" applyFill="1" applyBorder="1" applyAlignment="1">
      <x:alignment horizontal="center" vertical="top" wrapText="1"/>
    </x:xf>
    <x:xf numFmtId="0" fontId="11" fillId="102" borderId="19" xfId="0" applyNumberFormat="1" applyFont="1" applyFill="1" applyBorder="1" applyAlignment="1">
      <x:alignment horizontal="center" vertical="top" wrapText="1"/>
    </x:xf>
    <x:xf numFmtId="0" fontId="11" fillId="102" borderId="19" xfId="0" applyNumberFormat="1" applyFont="1" applyFill="1" applyBorder="1" applyAlignment="1">
      <x:alignment vertical="top" wrapText="1"/>
    </x:xf>
    <x:xf numFmtId="0" fontId="11" fillId="102" borderId="20" xfId="0" applyNumberFormat="1" applyFont="1" applyFill="1" applyBorder="1" applyAlignment="1">
      <x:alignment vertical="top" wrapText="1"/>
    </x:xf>
    <x:xf numFmtId="0" fontId="11" fillId="102" borderId="0" xfId="0" applyNumberFormat="1" applyFont="1" applyFill="1" applyBorder="1" applyAlignment="1">
      <x:alignment horizontal="center" vertical="top" wrapText="1"/>
    </x:xf>
    <x:xf numFmtId="0" fontId="11" fillId="102" borderId="0" xfId="0" applyNumberFormat="1" applyFont="1" applyFill="1" applyBorder="1" applyAlignment="1">
      <x:alignment vertical="top" wrapText="1"/>
    </x:xf>
    <x:xf numFmtId="200" fontId="11" fillId="99" borderId="16" xfId="0" applyNumberFormat="1" applyFont="1" applyFill="1" applyBorder="1" applyAlignment="1">
      <x:alignment horizontal="center" vertical="top" wrapText="1"/>
    </x:xf>
    <x:xf numFmtId="200" fontId="11" fillId="100" borderId="19" xfId="0" applyNumberFormat="1" applyFont="1" applyFill="1" applyBorder="1" applyAlignment="1">
      <x:alignment horizontal="center" vertical="top" wrapText="1"/>
    </x:xf>
    <x:xf numFmtId="200" fontId="11" fillId="99" borderId="19" xfId="0" applyNumberFormat="1" applyFont="1" applyFill="1" applyBorder="1" applyAlignment="1">
      <x:alignment horizontal="center" vertical="top" wrapText="1"/>
    </x:xf>
    <x:xf numFmtId="0" fontId="1" fillId="103" borderId="0" xfId="0" applyNumberFormat="1" applyFont="1" applyFill="1" applyBorder="1" applyAlignment="1">
      <x:alignment horizontal="left" vertical="center"/>
    </x:xf>
    <x:xf numFmtId="0" fontId="14" fillId="99" borderId="11" xfId="0" applyNumberFormat="1" applyFont="1" applyFill="1" applyBorder="1" applyAlignment="1">
      <x:alignment vertical="center" wrapText="1"/>
    </x:xf>
    <x:xf numFmtId="202" fontId="13" fillId="99" borderId="11" xfId="0" applyNumberFormat="1" applyFont="1" applyFill="1" applyBorder="1" applyAlignment="1">
      <x:alignment vertical="center" wrapText="1"/>
    </x:xf>
    <x:xf numFmtId="0" fontId="13" fillId="99" borderId="11" xfId="0" applyNumberFormat="1" applyFont="1" applyFill="1" applyBorder="1" applyAlignment="1">
      <x:alignment vertical="center" wrapText="1"/>
    </x:xf>
    <x:xf numFmtId="0" fontId="15" fillId="104" borderId="0" xfId="0" applyNumberFormat="1" applyFont="1" applyFill="1" applyBorder="1" applyAlignment="1">
      <x:alignment vertical="center" wrapText="1"/>
    </x:xf>
    <x:xf numFmtId="0" fontId="16" fillId="99" borderId="11" xfId="0" applyNumberFormat="1" applyFont="1" applyFill="1" applyBorder="1" applyAlignment="1">
      <x:alignment horizontal="center" vertical="center"/>
    </x:xf>
    <x:xf numFmtId="0" fontId="16" fillId="100" borderId="11" xfId="0" applyNumberFormat="1" applyFont="1" applyFill="1" applyBorder="1" applyAlignment="1">
      <x:alignment horizontal="center" vertical="center"/>
    </x:xf>
    <x:xf numFmtId="203" fontId="16" fillId="100" borderId="11" xfId="0" applyNumberFormat="1" applyFont="1" applyFill="1" applyBorder="1" applyAlignment="1">
      <x:alignment horizontal="center" vertical="center"/>
    </x:xf>
    <x:xf numFmtId="0" fontId="17" fillId="105" borderId="12" xfId="0" applyNumberFormat="1" applyFont="1" applyFill="1" applyBorder="1" applyAlignment="1">
      <x:alignment vertical="center" wrapText="1"/>
    </x:xf>
    <x:xf numFmtId="0" fontId="18" fillId="106" borderId="13" xfId="0" applyNumberFormat="1" applyFont="1" applyFill="1" applyBorder="1" applyAlignment="1">
      <x:alignment horizontal="center" vertical="center" wrapText="1"/>
    </x:xf>
    <x:xf numFmtId="0" fontId="11" fillId="107" borderId="14" xfId="0" applyNumberFormat="1" applyFont="1" applyFill="1" applyBorder="1" applyAlignment="1">
      <x:alignment vertical="top" wrapText="1"/>
    </x:xf>
    <x:xf numFmtId="202" fontId="11" fillId="107" borderId="14" xfId="0" applyNumberFormat="1" applyFont="1" applyFill="1" applyBorder="1" applyAlignment="1">
      <x:alignment vertical="top" wrapText="1"/>
    </x:xf>
    <x:xf numFmtId="0" fontId="11" fillId="107" borderId="14" xfId="0" applyNumberFormat="1" applyFont="1" applyFill="1" applyBorder="1" applyAlignment="1">
      <x:alignment horizontal="center" vertical="top" wrapText="1"/>
    </x:xf>
    <x:xf numFmtId="0" fontId="11" fillId="100" borderId="14" xfId="0" applyNumberFormat="1" applyFont="1" applyFill="1" applyBorder="1" applyAlignment="1">
      <x:alignment vertical="top" wrapText="1"/>
    </x:xf>
    <x:xf numFmtId="202" fontId="11" fillId="100" borderId="14" xfId="0" applyNumberFormat="1" applyFont="1" applyFill="1" applyBorder="1" applyAlignment="1">
      <x:alignment vertical="top" wrapText="1"/>
    </x:xf>
    <x:xf numFmtId="0" fontId="11" fillId="100" borderId="14" xfId="0" applyNumberFormat="1" applyFont="1" applyFill="1" applyBorder="1" applyAlignment="1">
      <x:alignment horizontal="center" vertical="top" wrapText="1"/>
    </x:xf>
    <x:xf numFmtId="0" fontId="11" fillId="107" borderId="0" xfId="0" applyNumberFormat="1" applyFont="1" applyFill="1" applyBorder="1" applyAlignment="1">
      <x:alignment vertical="top" wrapText="1"/>
    </x:xf>
    <x:xf numFmtId="0" fontId="11" fillId="107" borderId="0" xfId="0" applyNumberFormat="1" applyFont="1" applyFill="1" applyBorder="1" applyAlignment="1">
      <x:alignment horizontal="center" vertical="top" wrapText="1"/>
    </x:xf>
    <x:xf numFmtId="0" fontId="0" fillId="100" borderId="0" xfId="0" applyNumberFormat="1" applyFont="1" applyFill="1" applyBorder="1"/>
    <x:xf numFmtId="0" fontId="0" fillId="107" borderId="0" xfId="0" applyNumberFormat="1" applyFont="1" applyFill="1" applyBorder="1"/>
    <x:xf numFmtId="0" fontId="0" fillId="100" borderId="0" xfId="0" applyNumberFormat="1" applyFont="1" applyFill="1" applyBorder="1" applyAlignment="1">
      <x:alignment wrapText="1"/>
    </x:xf>
    <x:xf numFmtId="0" fontId="0" fillId="107" borderId="0" xfId="0" applyNumberFormat="1" applyFont="1" applyFill="1" applyBorder="1" applyAlignment="1">
      <x:alignment wrapText="1"/>
    </x:xf>
    <x:xf numFmtId="0" fontId="0" fillId="100" borderId="0" xfId="0" applyNumberFormat="1" applyFont="1" applyFill="1" applyBorder="1" applyAlignment="1">
      <x:alignment vertical="top" wrapText="1"/>
    </x:xf>
    <x:xf numFmtId="0" fontId="0" fillId="107" borderId="0" xfId="0" applyNumberFormat="1" applyFont="1" applyFill="1" applyBorder="1" applyAlignment="1">
      <x:alignment vertical="top" wrapText="1"/>
    </x:xf>
    <x:xf numFmtId="0" fontId="1" fillId="103" borderId="0" xfId="0" applyNumberFormat="1" applyFont="1" applyFill="1" applyBorder="1" applyAlignment="1">
      <x:alignment vertical="center"/>
    </x:xf>
    <x:xf numFmtId="0" fontId="13" fillId="99" borderId="0" xfId="0" applyNumberFormat="1" applyFont="1" applyFill="1" applyBorder="1" applyAlignment="1">
      <x:alignment vertical="center" wrapText="1"/>
    </x:xf>
    <x:xf numFmtId="0" fontId="3" fillId="98" borderId="0" xfId="0" applyNumberFormat="1" applyFont="1" applyFill="1" applyBorder="1" applyAlignment="1">
      <x:alignment horizontal="center" vertical="center" wrapText="1"/>
    </x:xf>
    <x:xf numFmtId="0" fontId="20" fillId="108" borderId="10" xfId="0" applyNumberFormat="1" applyFont="1" applyFill="1" applyBorder="1" applyAlignment="1">
      <x:alignment vertical="top" wrapText="1"/>
    </x:xf>
    <x:xf numFmtId="0" fontId="20" fillId="108" borderId="10" xfId="0" applyNumberFormat="1" applyFont="1" applyFill="1" applyBorder="1"/>
    <x:xf numFmtId="0" fontId="20" fillId="108" borderId="10" xfId="0" applyNumberFormat="1" applyFont="1" applyFill="1" applyBorder="1" applyAlignment="1">
      <x:alignment wrapText="1"/>
    </x:xf>
    <x:xf numFmtId="0" fontId="20" fillId="108" borderId="10" xfId="0" applyNumberFormat="1" applyFont="1" applyFill="1" applyBorder="1" applyAlignment="1">
      <x:alignment vertical="center" wrapText="1"/>
    </x:xf>
    <x:xf numFmtId="0" fontId="27" fillId="108" borderId="10" xfId="0" applyNumberFormat="1" applyFont="1" applyFill="1" applyBorder="1" applyAlignment="1">
      <x:alignment vertical="top" wrapText="1"/>
    </x:xf>
    <x:xf numFmtId="0" fontId="27" fillId="108" borderId="10" xfId="0" applyNumberFormat="1" applyFont="1" applyFill="1" applyBorder="1"/>
    <x:xf numFmtId="0" fontId="27" fillId="108" borderId="10" xfId="0" applyNumberFormat="1" applyFont="1" applyFill="1" applyBorder="1" applyAlignment="1">
      <x:alignment wrapText="1"/>
    </x:xf>
    <x:xf numFmtId="0" fontId="27" fillId="108" borderId="10" xfId="0" applyNumberFormat="1" applyFont="1" applyFill="1" applyBorder="1" applyAlignment="1">
      <x:alignment vertical="center" wrapText="1"/>
    </x:xf>
    <x:xf numFmtId="0" fontId="3" fillId="109" borderId="1" xfId="0" applyNumberFormat="1" applyFont="1" applyFill="1" applyBorder="1" applyAlignment="1">
      <x:alignment horizontal="center" vertical="center" wrapText="1"/>
    </x:xf>
    <x:xf numFmtId="0" fontId="10" fillId="110" borderId="15" xfId="0" applyNumberFormat="1" applyFont="1" applyFill="1" applyBorder="1" applyAlignment="1">
      <x:alignment horizontal="center" vertical="top" wrapText="1"/>
    </x:xf>
    <x:xf numFmtId="0" fontId="11" fillId="110" borderId="16" xfId="0" applyNumberFormat="1" applyFont="1" applyFill="1" applyBorder="1" applyAlignment="1">
      <x:alignment horizontal="center" vertical="top" wrapText="1"/>
    </x:xf>
    <x:xf numFmtId="201" fontId="11" fillId="110" borderId="16" xfId="0" applyNumberFormat="1" applyFont="1" applyFill="1" applyBorder="1" applyAlignment="1">
      <x:alignment horizontal="center" vertical="top" wrapText="1"/>
    </x:xf>
    <x:xf numFmtId="0" fontId="11" fillId="110" borderId="16" xfId="0" applyNumberFormat="1" applyFont="1" applyFill="1" applyBorder="1" applyAlignment="1">
      <x:alignment vertical="top" wrapText="1"/>
    </x:xf>
    <x:xf numFmtId="0" fontId="11" fillId="110" borderId="17" xfId="0" applyNumberFormat="1" applyFont="1" applyFill="1" applyBorder="1" applyAlignment="1">
      <x:alignment vertical="top" wrapText="1"/>
    </x:xf>
    <x:xf numFmtId="0" fontId="11" fillId="111" borderId="18" xfId="0" applyNumberFormat="1" applyFont="1" applyFill="1" applyBorder="1" applyAlignment="1">
      <x:alignment horizontal="center" vertical="top" wrapText="1"/>
    </x:xf>
    <x:xf numFmtId="0" fontId="11" fillId="111" borderId="19" xfId="0" applyNumberFormat="1" applyFont="1" applyFill="1" applyBorder="1" applyAlignment="1">
      <x:alignment horizontal="center" vertical="top" wrapText="1"/>
    </x:xf>
    <x:xf numFmtId="201" fontId="11" fillId="111" borderId="19" xfId="0" applyNumberFormat="1" applyFont="1" applyFill="1" applyBorder="1" applyAlignment="1">
      <x:alignment horizontal="center" vertical="top" wrapText="1"/>
    </x:xf>
    <x:xf numFmtId="0" fontId="11" fillId="111" borderId="19" xfId="0" applyNumberFormat="1" applyFont="1" applyFill="1" applyBorder="1" applyAlignment="1">
      <x:alignment vertical="top" wrapText="1"/>
    </x:xf>
    <x:xf numFmtId="0" fontId="11" fillId="111" borderId="20" xfId="0" applyNumberFormat="1" applyFont="1" applyFill="1" applyBorder="1" applyAlignment="1">
      <x:alignment vertical="top" wrapText="1"/>
    </x:xf>
    <x:xf numFmtId="0" fontId="10" fillId="110" borderId="18" xfId="0" applyNumberFormat="1" applyFont="1" applyFill="1" applyBorder="1" applyAlignment="1">
      <x:alignment horizontal="center" vertical="top" wrapText="1"/>
    </x:xf>
    <x:xf numFmtId="0" fontId="11" fillId="110" borderId="19" xfId="0" applyNumberFormat="1" applyFont="1" applyFill="1" applyBorder="1" applyAlignment="1">
      <x:alignment horizontal="center" vertical="top" wrapText="1"/>
    </x:xf>
    <x:xf numFmtId="201" fontId="11" fillId="110" borderId="19" xfId="0" applyNumberFormat="1" applyFont="1" applyFill="1" applyBorder="1" applyAlignment="1">
      <x:alignment horizontal="center" vertical="top" wrapText="1"/>
    </x:xf>
    <x:xf numFmtId="0" fontId="11" fillId="110" borderId="19" xfId="0" applyNumberFormat="1" applyFont="1" applyFill="1" applyBorder="1" applyAlignment="1">
      <x:alignment vertical="top" wrapText="1"/>
    </x:xf>
    <x:xf numFmtId="0" fontId="11" fillId="110" borderId="20" xfId="0" applyNumberFormat="1" applyFont="1" applyFill="1" applyBorder="1" applyAlignment="1">
      <x:alignment vertical="top" wrapText="1"/>
    </x:xf>
    <x:xf numFmtId="0" fontId="10" fillId="111" borderId="18" xfId="0" applyNumberFormat="1" applyFont="1" applyFill="1" applyBorder="1" applyAlignment="1">
      <x:alignment horizontal="center" vertical="top" wrapText="1"/>
    </x:xf>
    <x:xf numFmtId="0" fontId="11" fillId="110" borderId="18" xfId="0" applyNumberFormat="1" applyFont="1" applyFill="1" applyBorder="1" applyAlignment="1">
      <x:alignment horizontal="center" vertical="top" wrapText="1"/>
    </x:xf>
    <x:xf numFmtId="0" fontId="11" fillId="111" borderId="21" xfId="0" applyNumberFormat="1" applyFont="1" applyFill="1" applyBorder="1" applyAlignment="1">
      <x:alignment horizontal="center" vertical="top" wrapText="1"/>
    </x:xf>
    <x:xf numFmtId="0" fontId="11" fillId="111" borderId="22" xfId="0" applyNumberFormat="1" applyFont="1" applyFill="1" applyBorder="1" applyAlignment="1">
      <x:alignment horizontal="center" vertical="top" wrapText="1"/>
    </x:xf>
    <x:xf numFmtId="201" fontId="11" fillId="111" borderId="22" xfId="0" applyNumberFormat="1" applyFont="1" applyFill="1" applyBorder="1" applyAlignment="1">
      <x:alignment horizontal="center" vertical="top" wrapText="1"/>
    </x:xf>
    <x:xf numFmtId="0" fontId="11" fillId="111" borderId="22" xfId="0" applyNumberFormat="1" applyFont="1" applyFill="1" applyBorder="1" applyAlignment="1">
      <x:alignment vertical="top" wrapText="1"/>
    </x:xf>
    <x:xf numFmtId="0" fontId="11" fillId="111" borderId="23" xfId="0" applyNumberFormat="1" applyFont="1" applyFill="1" applyBorder="1" applyAlignment="1">
      <x:alignment vertical="top" wrapText="1"/>
    </x:xf>
    <x:xf numFmtId="0" fontId="11" fillId="110" borderId="0" xfId="0" applyNumberFormat="1" applyFont="1" applyFill="1" applyBorder="1" applyAlignment="1">
      <x:alignment horizontal="center" vertical="top" wrapText="1"/>
    </x:xf>
    <x:xf numFmtId="201" fontId="11" fillId="110" borderId="0" xfId="0" applyNumberFormat="1" applyFont="1" applyFill="1" applyBorder="1" applyAlignment="1">
      <x:alignment horizontal="center" vertical="top" wrapText="1"/>
    </x:xf>
    <x:xf numFmtId="0" fontId="11" fillId="110" borderId="0" xfId="0" applyNumberFormat="1" applyFont="1" applyFill="1" applyBorder="1" applyAlignment="1">
      <x:alignment vertical="top" wrapText="1"/>
    </x:xf>
    <x:xf numFmtId="0" fontId="11" fillId="111" borderId="0" xfId="0" applyNumberFormat="1" applyFont="1" applyFill="1" applyBorder="1" applyAlignment="1">
      <x:alignment horizontal="center" vertical="top" wrapText="1"/>
    </x:xf>
    <x:xf numFmtId="201" fontId="11" fillId="111" borderId="0" xfId="0" applyNumberFormat="1" applyFont="1" applyFill="1" applyBorder="1" applyAlignment="1">
      <x:alignment horizontal="center" vertical="top" wrapText="1"/>
    </x:xf>
    <x:xf numFmtId="0" fontId="11" fillId="111" borderId="0" xfId="0" applyNumberFormat="1" applyFont="1" applyFill="1" applyBorder="1" applyAlignment="1">
      <x:alignment vertical="top" wrapText="1"/>
    </x:xf>
    <x:xf numFmtId="0" fontId="11" fillId="110" borderId="15" xfId="0" applyNumberFormat="1" applyFont="1" applyFill="1" applyBorder="1" applyAlignment="1">
      <x:alignment horizontal="center" vertical="top" wrapText="1"/>
    </x:xf>
    <x:xf numFmtId="0" fontId="11" fillId="112" borderId="15" xfId="0" applyNumberFormat="1" applyFont="1" applyFill="1" applyBorder="1" applyAlignment="1">
      <x:alignment horizontal="center" vertical="top" wrapText="1"/>
    </x:xf>
    <x:xf numFmtId="0" fontId="11" fillId="112" borderId="16" xfId="0" applyNumberFormat="1" applyFont="1" applyFill="1" applyBorder="1" applyAlignment="1">
      <x:alignment horizontal="center" vertical="top" wrapText="1"/>
    </x:xf>
    <x:xf numFmtId="0" fontId="11" fillId="112" borderId="16" xfId="0" applyNumberFormat="1" applyFont="1" applyFill="1" applyBorder="1" applyAlignment="1">
      <x:alignment vertical="top" wrapText="1"/>
    </x:xf>
    <x:xf numFmtId="0" fontId="11" fillId="112" borderId="17" xfId="0" applyNumberFormat="1" applyFont="1" applyFill="1" applyBorder="1" applyAlignment="1">
      <x:alignment vertical="top" wrapText="1"/>
    </x:xf>
    <x:xf numFmtId="0" fontId="11" fillId="112" borderId="18" xfId="0" applyNumberFormat="1" applyFont="1" applyFill="1" applyBorder="1" applyAlignment="1">
      <x:alignment horizontal="center" vertical="top" wrapText="1"/>
    </x:xf>
    <x:xf numFmtId="0" fontId="11" fillId="112" borderId="19" xfId="0" applyNumberFormat="1" applyFont="1" applyFill="1" applyBorder="1" applyAlignment="1">
      <x:alignment horizontal="center" vertical="top" wrapText="1"/>
    </x:xf>
    <x:xf numFmtId="0" fontId="11" fillId="112" borderId="19" xfId="0" applyNumberFormat="1" applyFont="1" applyFill="1" applyBorder="1" applyAlignment="1">
      <x:alignment vertical="top" wrapText="1"/>
    </x:xf>
    <x:xf numFmtId="0" fontId="11" fillId="112" borderId="20" xfId="0" applyNumberFormat="1" applyFont="1" applyFill="1" applyBorder="1" applyAlignment="1">
      <x:alignment vertical="top" wrapText="1"/>
    </x:xf>
    <x:xf numFmtId="0" fontId="11" fillId="112" borderId="0" xfId="0" applyNumberFormat="1" applyFont="1" applyFill="1" applyBorder="1" applyAlignment="1">
      <x:alignment horizontal="center" vertical="top" wrapText="1"/>
    </x:xf>
    <x:xf numFmtId="0" fontId="11" fillId="112" borderId="0" xfId="0" applyNumberFormat="1" applyFont="1" applyFill="1" applyBorder="1" applyAlignment="1">
      <x:alignment vertical="top" wrapText="1"/>
    </x:xf>
    <x:xf numFmtId="200" fontId="11" fillId="110" borderId="16" xfId="0" applyNumberFormat="1" applyFont="1" applyFill="1" applyBorder="1" applyAlignment="1">
      <x:alignment horizontal="center" vertical="top" wrapText="1"/>
    </x:xf>
    <x:xf numFmtId="200" fontId="11" fillId="111" borderId="19" xfId="0" applyNumberFormat="1" applyFont="1" applyFill="1" applyBorder="1" applyAlignment="1">
      <x:alignment horizontal="center" vertical="top" wrapText="1"/>
    </x:xf>
    <x:xf numFmtId="200" fontId="11" fillId="110" borderId="19" xfId="0" applyNumberFormat="1" applyFont="1" applyFill="1" applyBorder="1" applyAlignment="1">
      <x:alignment horizontal="center" vertical="top" wrapText="1"/>
    </x:xf>
    <x:xf numFmtId="0" fontId="1" fillId="113" borderId="0" xfId="0" applyNumberFormat="1" applyFont="1" applyFill="1" applyBorder="1" applyAlignment="1">
      <x:alignment horizontal="left" vertical="center"/>
    </x:xf>
    <x:xf numFmtId="0" fontId="14" fillId="110" borderId="11" xfId="0" applyNumberFormat="1" applyFont="1" applyFill="1" applyBorder="1" applyAlignment="1">
      <x:alignment vertical="center" wrapText="1"/>
    </x:xf>
    <x:xf numFmtId="202" fontId="13" fillId="110" borderId="11" xfId="0" applyNumberFormat="1" applyFont="1" applyFill="1" applyBorder="1" applyAlignment="1">
      <x:alignment vertical="center" wrapText="1"/>
    </x:xf>
    <x:xf numFmtId="0" fontId="13" fillId="110" borderId="11" xfId="0" applyNumberFormat="1" applyFont="1" applyFill="1" applyBorder="1" applyAlignment="1">
      <x:alignment vertical="center" wrapText="1"/>
    </x:xf>
    <x:xf numFmtId="0" fontId="15" fillId="114" borderId="0" xfId="0" applyNumberFormat="1" applyFont="1" applyFill="1" applyBorder="1" applyAlignment="1">
      <x:alignment vertical="center" wrapText="1"/>
    </x:xf>
    <x:xf numFmtId="0" fontId="16" fillId="110" borderId="11" xfId="0" applyNumberFormat="1" applyFont="1" applyFill="1" applyBorder="1" applyAlignment="1">
      <x:alignment horizontal="center" vertical="center"/>
    </x:xf>
    <x:xf numFmtId="0" fontId="16" fillId="111" borderId="11" xfId="0" applyNumberFormat="1" applyFont="1" applyFill="1" applyBorder="1" applyAlignment="1">
      <x:alignment horizontal="center" vertical="center"/>
    </x:xf>
    <x:xf numFmtId="203" fontId="16" fillId="111" borderId="11" xfId="0" applyNumberFormat="1" applyFont="1" applyFill="1" applyBorder="1" applyAlignment="1">
      <x:alignment horizontal="center" vertical="center"/>
    </x:xf>
    <x:xf numFmtId="0" fontId="17" fillId="115" borderId="12" xfId="0" applyNumberFormat="1" applyFont="1" applyFill="1" applyBorder="1" applyAlignment="1">
      <x:alignment vertical="center" wrapText="1"/>
    </x:xf>
    <x:xf numFmtId="0" fontId="18" fillId="116" borderId="13" xfId="0" applyNumberFormat="1" applyFont="1" applyFill="1" applyBorder="1" applyAlignment="1">
      <x:alignment horizontal="center" vertical="center" wrapText="1"/>
    </x:xf>
    <x:xf numFmtId="0" fontId="11" fillId="117" borderId="14" xfId="0" applyNumberFormat="1" applyFont="1" applyFill="1" applyBorder="1" applyAlignment="1">
      <x:alignment vertical="top" wrapText="1"/>
    </x:xf>
    <x:xf numFmtId="202" fontId="11" fillId="117" borderId="14" xfId="0" applyNumberFormat="1" applyFont="1" applyFill="1" applyBorder="1" applyAlignment="1">
      <x:alignment vertical="top" wrapText="1"/>
    </x:xf>
    <x:xf numFmtId="0" fontId="11" fillId="117" borderId="14" xfId="0" applyNumberFormat="1" applyFont="1" applyFill="1" applyBorder="1" applyAlignment="1">
      <x:alignment horizontal="center" vertical="top" wrapText="1"/>
    </x:xf>
    <x:xf numFmtId="0" fontId="11" fillId="111" borderId="14" xfId="0" applyNumberFormat="1" applyFont="1" applyFill="1" applyBorder="1" applyAlignment="1">
      <x:alignment vertical="top" wrapText="1"/>
    </x:xf>
    <x:xf numFmtId="202" fontId="11" fillId="111" borderId="14" xfId="0" applyNumberFormat="1" applyFont="1" applyFill="1" applyBorder="1" applyAlignment="1">
      <x:alignment vertical="top" wrapText="1"/>
    </x:xf>
    <x:xf numFmtId="0" fontId="11" fillId="111" borderId="14" xfId="0" applyNumberFormat="1" applyFont="1" applyFill="1" applyBorder="1" applyAlignment="1">
      <x:alignment horizontal="center" vertical="top" wrapText="1"/>
    </x:xf>
    <x:xf numFmtId="0" fontId="11" fillId="117" borderId="0" xfId="0" applyNumberFormat="1" applyFont="1" applyFill="1" applyBorder="1" applyAlignment="1">
      <x:alignment vertical="top" wrapText="1"/>
    </x:xf>
    <x:xf numFmtId="0" fontId="11" fillId="117" borderId="0" xfId="0" applyNumberFormat="1" applyFont="1" applyFill="1" applyBorder="1" applyAlignment="1">
      <x:alignment horizontal="center" vertical="top" wrapText="1"/>
    </x:xf>
    <x:xf numFmtId="0" fontId="1" fillId="113" borderId="0" xfId="0" applyNumberFormat="1" applyFont="1" applyFill="1" applyBorder="1" applyAlignment="1">
      <x:alignment vertical="center"/>
    </x:xf>
    <x:xf numFmtId="0" fontId="13" fillId="110" borderId="0" xfId="0" applyNumberFormat="1" applyFont="1" applyFill="1" applyBorder="1" applyAlignment="1">
      <x:alignment vertical="center" wrapText="1"/>
    </x:xf>
    <x:xf numFmtId="0" fontId="3" fillId="109" borderId="0" xfId="0" applyNumberFormat="1" applyFont="1" applyFill="1" applyBorder="1" applyAlignment="1">
      <x:alignment horizontal="center" vertical="center" wrapText="1"/>
    </x:xf>
    <x:xf numFmtId="0" fontId="20" fillId="118" borderId="10" xfId="0" applyNumberFormat="1" applyFont="1" applyFill="1" applyBorder="1" applyAlignment="1">
      <x:alignment vertical="top" wrapText="1"/>
    </x:xf>
    <x:xf numFmtId="0" fontId="20" fillId="118" borderId="10" xfId="0" applyNumberFormat="1" applyFont="1" applyFill="1" applyBorder="1"/>
    <x:xf numFmtId="0" fontId="20" fillId="118" borderId="10" xfId="0" applyNumberFormat="1" applyFont="1" applyFill="1" applyBorder="1" applyAlignment="1">
      <x:alignment wrapText="1"/>
    </x:xf>
    <x:xf numFmtId="0" fontId="20" fillId="118" borderId="10" xfId="0" applyNumberFormat="1" applyFont="1" applyFill="1" applyBorder="1" applyAlignment="1">
      <x:alignment vertical="center" wrapText="1"/>
    </x:xf>
    <x:xf numFmtId="0" fontId="28" fillId="118" borderId="10" xfId="0" applyNumberFormat="1" applyFont="1" applyFill="1" applyBorder="1" applyAlignment="1">
      <x:alignment vertical="top" wrapText="1"/>
    </x:xf>
    <x:xf numFmtId="0" fontId="28" fillId="118" borderId="10" xfId="0" applyNumberFormat="1" applyFont="1" applyFill="1" applyBorder="1"/>
    <x:xf numFmtId="0" fontId="28" fillId="118" borderId="10" xfId="0" applyNumberFormat="1" applyFont="1" applyFill="1" applyBorder="1" applyAlignment="1">
      <x:alignment wrapText="1"/>
    </x:xf>
    <x:xf numFmtId="0" fontId="28" fillId="118" borderId="10" xfId="0" applyNumberFormat="1" applyFont="1" applyFill="1" applyBorder="1" applyAlignment="1">
      <x:alignment vertical="center" wrapText="1"/>
    </x:xf>
    <x:xf numFmtId="0" fontId="3" fillId="119" borderId="1" xfId="0" applyNumberFormat="1" applyFont="1" applyFill="1" applyBorder="1" applyAlignment="1">
      <x:alignment horizontal="center" vertical="center" wrapText="1"/>
    </x:xf>
    <x:xf numFmtId="0" fontId="10" fillId="120" borderId="15" xfId="0" applyNumberFormat="1" applyFont="1" applyFill="1" applyBorder="1" applyAlignment="1">
      <x:alignment horizontal="center" vertical="top" wrapText="1"/>
    </x:xf>
    <x:xf numFmtId="0" fontId="11" fillId="120" borderId="16" xfId="0" applyNumberFormat="1" applyFont="1" applyFill="1" applyBorder="1" applyAlignment="1">
      <x:alignment horizontal="center" vertical="top" wrapText="1"/>
    </x:xf>
    <x:xf numFmtId="201" fontId="11" fillId="120" borderId="16" xfId="0" applyNumberFormat="1" applyFont="1" applyFill="1" applyBorder="1" applyAlignment="1">
      <x:alignment horizontal="center" vertical="top" wrapText="1"/>
    </x:xf>
    <x:xf numFmtId="0" fontId="11" fillId="120" borderId="16" xfId="0" applyNumberFormat="1" applyFont="1" applyFill="1" applyBorder="1" applyAlignment="1">
      <x:alignment vertical="top" wrapText="1"/>
    </x:xf>
    <x:xf numFmtId="0" fontId="11" fillId="120" borderId="17" xfId="0" applyNumberFormat="1" applyFont="1" applyFill="1" applyBorder="1" applyAlignment="1">
      <x:alignment vertical="top" wrapText="1"/>
    </x:xf>
    <x:xf numFmtId="0" fontId="11" fillId="121" borderId="18" xfId="0" applyNumberFormat="1" applyFont="1" applyFill="1" applyBorder="1" applyAlignment="1">
      <x:alignment horizontal="center" vertical="top" wrapText="1"/>
    </x:xf>
    <x:xf numFmtId="0" fontId="11" fillId="121" borderId="19" xfId="0" applyNumberFormat="1" applyFont="1" applyFill="1" applyBorder="1" applyAlignment="1">
      <x:alignment horizontal="center" vertical="top" wrapText="1"/>
    </x:xf>
    <x:xf numFmtId="201" fontId="11" fillId="121" borderId="19" xfId="0" applyNumberFormat="1" applyFont="1" applyFill="1" applyBorder="1" applyAlignment="1">
      <x:alignment horizontal="center" vertical="top" wrapText="1"/>
    </x:xf>
    <x:xf numFmtId="0" fontId="11" fillId="121" borderId="19" xfId="0" applyNumberFormat="1" applyFont="1" applyFill="1" applyBorder="1" applyAlignment="1">
      <x:alignment vertical="top" wrapText="1"/>
    </x:xf>
    <x:xf numFmtId="0" fontId="11" fillId="121" borderId="20" xfId="0" applyNumberFormat="1" applyFont="1" applyFill="1" applyBorder="1" applyAlignment="1">
      <x:alignment vertical="top" wrapText="1"/>
    </x:xf>
    <x:xf numFmtId="0" fontId="10" fillId="120" borderId="18" xfId="0" applyNumberFormat="1" applyFont="1" applyFill="1" applyBorder="1" applyAlignment="1">
      <x:alignment horizontal="center" vertical="top" wrapText="1"/>
    </x:xf>
    <x:xf numFmtId="0" fontId="11" fillId="120" borderId="19" xfId="0" applyNumberFormat="1" applyFont="1" applyFill="1" applyBorder="1" applyAlignment="1">
      <x:alignment horizontal="center" vertical="top" wrapText="1"/>
    </x:xf>
    <x:xf numFmtId="201" fontId="11" fillId="120" borderId="19" xfId="0" applyNumberFormat="1" applyFont="1" applyFill="1" applyBorder="1" applyAlignment="1">
      <x:alignment horizontal="center" vertical="top" wrapText="1"/>
    </x:xf>
    <x:xf numFmtId="0" fontId="11" fillId="120" borderId="19" xfId="0" applyNumberFormat="1" applyFont="1" applyFill="1" applyBorder="1" applyAlignment="1">
      <x:alignment vertical="top" wrapText="1"/>
    </x:xf>
    <x:xf numFmtId="0" fontId="11" fillId="120" borderId="20" xfId="0" applyNumberFormat="1" applyFont="1" applyFill="1" applyBorder="1" applyAlignment="1">
      <x:alignment vertical="top" wrapText="1"/>
    </x:xf>
    <x:xf numFmtId="0" fontId="10" fillId="121" borderId="18" xfId="0" applyNumberFormat="1" applyFont="1" applyFill="1" applyBorder="1" applyAlignment="1">
      <x:alignment horizontal="center" vertical="top" wrapText="1"/>
    </x:xf>
    <x:xf numFmtId="0" fontId="11" fillId="120" borderId="18" xfId="0" applyNumberFormat="1" applyFont="1" applyFill="1" applyBorder="1" applyAlignment="1">
      <x:alignment horizontal="center" vertical="top" wrapText="1"/>
    </x:xf>
    <x:xf numFmtId="0" fontId="11" fillId="121" borderId="21" xfId="0" applyNumberFormat="1" applyFont="1" applyFill="1" applyBorder="1" applyAlignment="1">
      <x:alignment horizontal="center" vertical="top" wrapText="1"/>
    </x:xf>
    <x:xf numFmtId="0" fontId="11" fillId="121" borderId="22" xfId="0" applyNumberFormat="1" applyFont="1" applyFill="1" applyBorder="1" applyAlignment="1">
      <x:alignment horizontal="center" vertical="top" wrapText="1"/>
    </x:xf>
    <x:xf numFmtId="201" fontId="11" fillId="121" borderId="22" xfId="0" applyNumberFormat="1" applyFont="1" applyFill="1" applyBorder="1" applyAlignment="1">
      <x:alignment horizontal="center" vertical="top" wrapText="1"/>
    </x:xf>
    <x:xf numFmtId="0" fontId="11" fillId="121" borderId="22" xfId="0" applyNumberFormat="1" applyFont="1" applyFill="1" applyBorder="1" applyAlignment="1">
      <x:alignment vertical="top" wrapText="1"/>
    </x:xf>
    <x:xf numFmtId="0" fontId="11" fillId="121" borderId="23" xfId="0" applyNumberFormat="1" applyFont="1" applyFill="1" applyBorder="1" applyAlignment="1">
      <x:alignment vertical="top" wrapText="1"/>
    </x:xf>
    <x:xf numFmtId="0" fontId="11" fillId="120" borderId="0" xfId="0" applyNumberFormat="1" applyFont="1" applyFill="1" applyBorder="1" applyAlignment="1">
      <x:alignment horizontal="center" vertical="top" wrapText="1"/>
    </x:xf>
    <x:xf numFmtId="201" fontId="11" fillId="120" borderId="0" xfId="0" applyNumberFormat="1" applyFont="1" applyFill="1" applyBorder="1" applyAlignment="1">
      <x:alignment horizontal="center" vertical="top" wrapText="1"/>
    </x:xf>
    <x:xf numFmtId="0" fontId="11" fillId="120" borderId="0" xfId="0" applyNumberFormat="1" applyFont="1" applyFill="1" applyBorder="1" applyAlignment="1">
      <x:alignment vertical="top" wrapText="1"/>
    </x:xf>
    <x:xf numFmtId="0" fontId="11" fillId="121" borderId="0" xfId="0" applyNumberFormat="1" applyFont="1" applyFill="1" applyBorder="1" applyAlignment="1">
      <x:alignment horizontal="center" vertical="top" wrapText="1"/>
    </x:xf>
    <x:xf numFmtId="201" fontId="11" fillId="121" borderId="0" xfId="0" applyNumberFormat="1" applyFont="1" applyFill="1" applyBorder="1" applyAlignment="1">
      <x:alignment horizontal="center" vertical="top" wrapText="1"/>
    </x:xf>
    <x:xf numFmtId="0" fontId="11" fillId="121" borderId="0" xfId="0" applyNumberFormat="1" applyFont="1" applyFill="1" applyBorder="1" applyAlignment="1">
      <x:alignment vertical="top" wrapText="1"/>
    </x:xf>
    <x:xf numFmtId="0" fontId="11" fillId="120" borderId="15" xfId="0" applyNumberFormat="1" applyFont="1" applyFill="1" applyBorder="1" applyAlignment="1">
      <x:alignment horizontal="center" vertical="top" wrapText="1"/>
    </x:xf>
    <x:xf numFmtId="0" fontId="11" fillId="122" borderId="15" xfId="0" applyNumberFormat="1" applyFont="1" applyFill="1" applyBorder="1" applyAlignment="1">
      <x:alignment horizontal="center" vertical="top" wrapText="1"/>
    </x:xf>
    <x:xf numFmtId="0" fontId="11" fillId="122" borderId="16" xfId="0" applyNumberFormat="1" applyFont="1" applyFill="1" applyBorder="1" applyAlignment="1">
      <x:alignment horizontal="center" vertical="top" wrapText="1"/>
    </x:xf>
    <x:xf numFmtId="0" fontId="11" fillId="122" borderId="16" xfId="0" applyNumberFormat="1" applyFont="1" applyFill="1" applyBorder="1" applyAlignment="1">
      <x:alignment vertical="top" wrapText="1"/>
    </x:xf>
    <x:xf numFmtId="0" fontId="11" fillId="122" borderId="17" xfId="0" applyNumberFormat="1" applyFont="1" applyFill="1" applyBorder="1" applyAlignment="1">
      <x:alignment vertical="top" wrapText="1"/>
    </x:xf>
    <x:xf numFmtId="0" fontId="11" fillId="122" borderId="18" xfId="0" applyNumberFormat="1" applyFont="1" applyFill="1" applyBorder="1" applyAlignment="1">
      <x:alignment horizontal="center" vertical="top" wrapText="1"/>
    </x:xf>
    <x:xf numFmtId="0" fontId="11" fillId="122" borderId="19" xfId="0" applyNumberFormat="1" applyFont="1" applyFill="1" applyBorder="1" applyAlignment="1">
      <x:alignment horizontal="center" vertical="top" wrapText="1"/>
    </x:xf>
    <x:xf numFmtId="0" fontId="11" fillId="122" borderId="19" xfId="0" applyNumberFormat="1" applyFont="1" applyFill="1" applyBorder="1" applyAlignment="1">
      <x:alignment vertical="top" wrapText="1"/>
    </x:xf>
    <x:xf numFmtId="0" fontId="11" fillId="122" borderId="20" xfId="0" applyNumberFormat="1" applyFont="1" applyFill="1" applyBorder="1" applyAlignment="1">
      <x:alignment vertical="top" wrapText="1"/>
    </x:xf>
    <x:xf numFmtId="0" fontId="11" fillId="122" borderId="0" xfId="0" applyNumberFormat="1" applyFont="1" applyFill="1" applyBorder="1" applyAlignment="1">
      <x:alignment horizontal="center" vertical="top" wrapText="1"/>
    </x:xf>
    <x:xf numFmtId="0" fontId="11" fillId="122" borderId="0" xfId="0" applyNumberFormat="1" applyFont="1" applyFill="1" applyBorder="1" applyAlignment="1">
      <x:alignment vertical="top" wrapText="1"/>
    </x:xf>
    <x:xf numFmtId="200" fontId="11" fillId="120" borderId="16" xfId="0" applyNumberFormat="1" applyFont="1" applyFill="1" applyBorder="1" applyAlignment="1">
      <x:alignment horizontal="center" vertical="top" wrapText="1"/>
    </x:xf>
    <x:xf numFmtId="200" fontId="11" fillId="121" borderId="19" xfId="0" applyNumberFormat="1" applyFont="1" applyFill="1" applyBorder="1" applyAlignment="1">
      <x:alignment horizontal="center" vertical="top" wrapText="1"/>
    </x:xf>
    <x:xf numFmtId="200" fontId="11" fillId="120" borderId="19" xfId="0" applyNumberFormat="1" applyFont="1" applyFill="1" applyBorder="1" applyAlignment="1">
      <x:alignment horizontal="center" vertical="top" wrapText="1"/>
    </x:xf>
    <x:xf numFmtId="0" fontId="1" fillId="123" borderId="0" xfId="0" applyNumberFormat="1" applyFont="1" applyFill="1" applyBorder="1" applyAlignment="1">
      <x:alignment horizontal="left" vertical="center"/>
    </x:xf>
    <x:xf numFmtId="0" fontId="14" fillId="120" borderId="11" xfId="0" applyNumberFormat="1" applyFont="1" applyFill="1" applyBorder="1" applyAlignment="1">
      <x:alignment vertical="center" wrapText="1"/>
    </x:xf>
    <x:xf numFmtId="202" fontId="13" fillId="120" borderId="11" xfId="0" applyNumberFormat="1" applyFont="1" applyFill="1" applyBorder="1" applyAlignment="1">
      <x:alignment vertical="center" wrapText="1"/>
    </x:xf>
    <x:xf numFmtId="0" fontId="13" fillId="120" borderId="11" xfId="0" applyNumberFormat="1" applyFont="1" applyFill="1" applyBorder="1" applyAlignment="1">
      <x:alignment vertical="center" wrapText="1"/>
    </x:xf>
    <x:xf numFmtId="0" fontId="15" fillId="124" borderId="0" xfId="0" applyNumberFormat="1" applyFont="1" applyFill="1" applyBorder="1" applyAlignment="1">
      <x:alignment vertical="center" wrapText="1"/>
    </x:xf>
    <x:xf numFmtId="0" fontId="16" fillId="120" borderId="11" xfId="0" applyNumberFormat="1" applyFont="1" applyFill="1" applyBorder="1" applyAlignment="1">
      <x:alignment horizontal="center" vertical="center"/>
    </x:xf>
    <x:xf numFmtId="0" fontId="16" fillId="121" borderId="11" xfId="0" applyNumberFormat="1" applyFont="1" applyFill="1" applyBorder="1" applyAlignment="1">
      <x:alignment horizontal="center" vertical="center"/>
    </x:xf>
    <x:xf numFmtId="203" fontId="16" fillId="121" borderId="11" xfId="0" applyNumberFormat="1" applyFont="1" applyFill="1" applyBorder="1" applyAlignment="1">
      <x:alignment horizontal="center" vertical="center"/>
    </x:xf>
    <x:xf numFmtId="0" fontId="17" fillId="125" borderId="12" xfId="0" applyNumberFormat="1" applyFont="1" applyFill="1" applyBorder="1" applyAlignment="1">
      <x:alignment vertical="center" wrapText="1"/>
    </x:xf>
    <x:xf numFmtId="0" fontId="18" fillId="126" borderId="13" xfId="0" applyNumberFormat="1" applyFont="1" applyFill="1" applyBorder="1" applyAlignment="1">
      <x:alignment horizontal="center" vertical="center" wrapText="1"/>
    </x:xf>
    <x:xf numFmtId="0" fontId="11" fillId="127" borderId="14" xfId="0" applyNumberFormat="1" applyFont="1" applyFill="1" applyBorder="1" applyAlignment="1">
      <x:alignment vertical="top" wrapText="1"/>
    </x:xf>
    <x:xf numFmtId="202" fontId="11" fillId="127" borderId="14" xfId="0" applyNumberFormat="1" applyFont="1" applyFill="1" applyBorder="1" applyAlignment="1">
      <x:alignment vertical="top" wrapText="1"/>
    </x:xf>
    <x:xf numFmtId="0" fontId="11" fillId="127" borderId="14" xfId="0" applyNumberFormat="1" applyFont="1" applyFill="1" applyBorder="1" applyAlignment="1">
      <x:alignment horizontal="center" vertical="top" wrapText="1"/>
    </x:xf>
    <x:xf numFmtId="0" fontId="11" fillId="121" borderId="14" xfId="0" applyNumberFormat="1" applyFont="1" applyFill="1" applyBorder="1" applyAlignment="1">
      <x:alignment vertical="top" wrapText="1"/>
    </x:xf>
    <x:xf numFmtId="202" fontId="11" fillId="121" borderId="14" xfId="0" applyNumberFormat="1" applyFont="1" applyFill="1" applyBorder="1" applyAlignment="1">
      <x:alignment vertical="top" wrapText="1"/>
    </x:xf>
    <x:xf numFmtId="0" fontId="11" fillId="121" borderId="14" xfId="0" applyNumberFormat="1" applyFont="1" applyFill="1" applyBorder="1" applyAlignment="1">
      <x:alignment horizontal="center" vertical="top" wrapText="1"/>
    </x:xf>
    <x:xf numFmtId="0" fontId="11" fillId="127" borderId="0" xfId="0" applyNumberFormat="1" applyFont="1" applyFill="1" applyBorder="1" applyAlignment="1">
      <x:alignment vertical="top" wrapText="1"/>
    </x:xf>
    <x:xf numFmtId="0" fontId="11" fillId="127" borderId="0" xfId="0" applyNumberFormat="1" applyFont="1" applyFill="1" applyBorder="1" applyAlignment="1">
      <x:alignment horizontal="center" vertical="top" wrapText="1"/>
    </x:xf>
    <x:xf numFmtId="0" fontId="0" fillId="121" borderId="0" xfId="0" applyNumberFormat="1" applyFont="1" applyFill="1" applyBorder="1"/>
    <x:xf numFmtId="0" fontId="0" fillId="127" borderId="0" xfId="0" applyNumberFormat="1" applyFont="1" applyFill="1" applyBorder="1"/>
    <x:xf numFmtId="0" fontId="0" fillId="121" borderId="0" xfId="0" applyNumberFormat="1" applyFont="1" applyFill="1" applyBorder="1" applyAlignment="1">
      <x:alignment wrapText="1"/>
    </x:xf>
    <x:xf numFmtId="0" fontId="0" fillId="127" borderId="0" xfId="0" applyNumberFormat="1" applyFont="1" applyFill="1" applyBorder="1" applyAlignment="1">
      <x:alignment wrapText="1"/>
    </x:xf>
    <x:xf numFmtId="0" fontId="0" fillId="121" borderId="0" xfId="0" applyNumberFormat="1" applyFont="1" applyFill="1" applyBorder="1" applyAlignment="1">
      <x:alignment vertical="top" wrapText="1"/>
    </x:xf>
    <x:xf numFmtId="0" fontId="0" fillId="127" borderId="0" xfId="0" applyNumberFormat="1" applyFont="1" applyFill="1" applyBorder="1" applyAlignment="1">
      <x:alignment vertical="top" wrapText="1"/>
    </x:xf>
    <x:xf numFmtId="0" fontId="1" fillId="123" borderId="0" xfId="0" applyNumberFormat="1" applyFont="1" applyFill="1" applyBorder="1" applyAlignment="1">
      <x:alignment vertical="center"/>
    </x:xf>
    <x:xf numFmtId="0" fontId="13" fillId="120" borderId="0" xfId="0" applyNumberFormat="1" applyFont="1" applyFill="1" applyBorder="1" applyAlignment="1">
      <x:alignment vertical="center" wrapText="1"/>
    </x:xf>
    <x:xf numFmtId="0" fontId="3" fillId="119" borderId="0" xfId="0" applyNumberFormat="1" applyFont="1" applyFill="1" applyBorder="1" applyAlignment="1">
      <x:alignment horizontal="center" vertical="center" wrapText="1"/>
    </x:xf>
    <x:xf numFmtId="0" fontId="20" fillId="128" borderId="10" xfId="0" applyNumberFormat="1" applyFont="1" applyFill="1" applyBorder="1" applyAlignment="1">
      <x:alignment vertical="top" wrapText="1"/>
    </x:xf>
    <x:xf numFmtId="0" fontId="20" fillId="128" borderId="10" xfId="0" applyNumberFormat="1" applyFont="1" applyFill="1" applyBorder="1"/>
    <x:xf numFmtId="0" fontId="20" fillId="128" borderId="10" xfId="0" applyNumberFormat="1" applyFont="1" applyFill="1" applyBorder="1" applyAlignment="1">
      <x:alignment wrapText="1"/>
    </x:xf>
    <x:xf numFmtId="0" fontId="20" fillId="128" borderId="10" xfId="0" applyNumberFormat="1" applyFont="1" applyFill="1" applyBorder="1" applyAlignment="1">
      <x:alignment vertical="center" wrapText="1"/>
    </x:xf>
    <x:xf numFmtId="0" fontId="29" fillId="128" borderId="10" xfId="0" applyNumberFormat="1" applyFont="1" applyFill="1" applyBorder="1" applyAlignment="1">
      <x:alignment vertical="top" wrapText="1"/>
    </x:xf>
    <x:xf numFmtId="0" fontId="29" fillId="128" borderId="10" xfId="0" applyNumberFormat="1" applyFont="1" applyFill="1" applyBorder="1"/>
    <x:xf numFmtId="0" fontId="29" fillId="128" borderId="10" xfId="0" applyNumberFormat="1" applyFont="1" applyFill="1" applyBorder="1" applyAlignment="1">
      <x:alignment wrapText="1"/>
    </x:xf>
    <x:xf numFmtId="0" fontId="29" fillId="128" borderId="10" xfId="0" applyNumberFormat="1" applyFont="1" applyFill="1" applyBorder="1" applyAlignment="1">
      <x:alignment vertical="center" wrapText="1"/>
    </x:xf>
    <x:xf numFmtId="0" fontId="3" fillId="129" borderId="1" xfId="0" applyNumberFormat="1" applyFont="1" applyFill="1" applyBorder="1" applyAlignment="1">
      <x:alignment horizontal="center" vertical="center" wrapText="1"/>
    </x:xf>
    <x:xf numFmtId="0" fontId="10" fillId="130" borderId="15" xfId="0" applyNumberFormat="1" applyFont="1" applyFill="1" applyBorder="1" applyAlignment="1">
      <x:alignment horizontal="center" vertical="top" wrapText="1"/>
    </x:xf>
    <x:xf numFmtId="0" fontId="11" fillId="130" borderId="16" xfId="0" applyNumberFormat="1" applyFont="1" applyFill="1" applyBorder="1" applyAlignment="1">
      <x:alignment horizontal="center" vertical="top" wrapText="1"/>
    </x:xf>
    <x:xf numFmtId="201" fontId="11" fillId="130" borderId="16" xfId="0" applyNumberFormat="1" applyFont="1" applyFill="1" applyBorder="1" applyAlignment="1">
      <x:alignment horizontal="center" vertical="top" wrapText="1"/>
    </x:xf>
    <x:xf numFmtId="0" fontId="11" fillId="130" borderId="16" xfId="0" applyNumberFormat="1" applyFont="1" applyFill="1" applyBorder="1" applyAlignment="1">
      <x:alignment vertical="top" wrapText="1"/>
    </x:xf>
    <x:xf numFmtId="0" fontId="11" fillId="130" borderId="17" xfId="0" applyNumberFormat="1" applyFont="1" applyFill="1" applyBorder="1" applyAlignment="1">
      <x:alignment vertical="top" wrapText="1"/>
    </x:xf>
    <x:xf numFmtId="0" fontId="11" fillId="131" borderId="18" xfId="0" applyNumberFormat="1" applyFont="1" applyFill="1" applyBorder="1" applyAlignment="1">
      <x:alignment horizontal="center" vertical="top" wrapText="1"/>
    </x:xf>
    <x:xf numFmtId="0" fontId="11" fillId="131" borderId="19" xfId="0" applyNumberFormat="1" applyFont="1" applyFill="1" applyBorder="1" applyAlignment="1">
      <x:alignment horizontal="center" vertical="top" wrapText="1"/>
    </x:xf>
    <x:xf numFmtId="201" fontId="11" fillId="131" borderId="19" xfId="0" applyNumberFormat="1" applyFont="1" applyFill="1" applyBorder="1" applyAlignment="1">
      <x:alignment horizontal="center" vertical="top" wrapText="1"/>
    </x:xf>
    <x:xf numFmtId="0" fontId="11" fillId="131" borderId="19" xfId="0" applyNumberFormat="1" applyFont="1" applyFill="1" applyBorder="1" applyAlignment="1">
      <x:alignment vertical="top" wrapText="1"/>
    </x:xf>
    <x:xf numFmtId="0" fontId="11" fillId="131" borderId="20" xfId="0" applyNumberFormat="1" applyFont="1" applyFill="1" applyBorder="1" applyAlignment="1">
      <x:alignment vertical="top" wrapText="1"/>
    </x:xf>
    <x:xf numFmtId="0" fontId="10" fillId="130" borderId="18" xfId="0" applyNumberFormat="1" applyFont="1" applyFill="1" applyBorder="1" applyAlignment="1">
      <x:alignment horizontal="center" vertical="top" wrapText="1"/>
    </x:xf>
    <x:xf numFmtId="0" fontId="11" fillId="130" borderId="19" xfId="0" applyNumberFormat="1" applyFont="1" applyFill="1" applyBorder="1" applyAlignment="1">
      <x:alignment horizontal="center" vertical="top" wrapText="1"/>
    </x:xf>
    <x:xf numFmtId="201" fontId="11" fillId="130" borderId="19" xfId="0" applyNumberFormat="1" applyFont="1" applyFill="1" applyBorder="1" applyAlignment="1">
      <x:alignment horizontal="center" vertical="top" wrapText="1"/>
    </x:xf>
    <x:xf numFmtId="0" fontId="11" fillId="130" borderId="19" xfId="0" applyNumberFormat="1" applyFont="1" applyFill="1" applyBorder="1" applyAlignment="1">
      <x:alignment vertical="top" wrapText="1"/>
    </x:xf>
    <x:xf numFmtId="0" fontId="11" fillId="130" borderId="20" xfId="0" applyNumberFormat="1" applyFont="1" applyFill="1" applyBorder="1" applyAlignment="1">
      <x:alignment vertical="top" wrapText="1"/>
    </x:xf>
    <x:xf numFmtId="0" fontId="10" fillId="131" borderId="18" xfId="0" applyNumberFormat="1" applyFont="1" applyFill="1" applyBorder="1" applyAlignment="1">
      <x:alignment horizontal="center" vertical="top" wrapText="1"/>
    </x:xf>
    <x:xf numFmtId="0" fontId="11" fillId="130" borderId="18" xfId="0" applyNumberFormat="1" applyFont="1" applyFill="1" applyBorder="1" applyAlignment="1">
      <x:alignment horizontal="center" vertical="top" wrapText="1"/>
    </x:xf>
    <x:xf numFmtId="0" fontId="11" fillId="131" borderId="21" xfId="0" applyNumberFormat="1" applyFont="1" applyFill="1" applyBorder="1" applyAlignment="1">
      <x:alignment horizontal="center" vertical="top" wrapText="1"/>
    </x:xf>
    <x:xf numFmtId="0" fontId="11" fillId="131" borderId="22" xfId="0" applyNumberFormat="1" applyFont="1" applyFill="1" applyBorder="1" applyAlignment="1">
      <x:alignment horizontal="center" vertical="top" wrapText="1"/>
    </x:xf>
    <x:xf numFmtId="201" fontId="11" fillId="131" borderId="22" xfId="0" applyNumberFormat="1" applyFont="1" applyFill="1" applyBorder="1" applyAlignment="1">
      <x:alignment horizontal="center" vertical="top" wrapText="1"/>
    </x:xf>
    <x:xf numFmtId="0" fontId="11" fillId="131" borderId="22" xfId="0" applyNumberFormat="1" applyFont="1" applyFill="1" applyBorder="1" applyAlignment="1">
      <x:alignment vertical="top" wrapText="1"/>
    </x:xf>
    <x:xf numFmtId="0" fontId="11" fillId="131" borderId="23" xfId="0" applyNumberFormat="1" applyFont="1" applyFill="1" applyBorder="1" applyAlignment="1">
      <x:alignment vertical="top" wrapText="1"/>
    </x:xf>
    <x:xf numFmtId="0" fontId="11" fillId="130" borderId="0" xfId="0" applyNumberFormat="1" applyFont="1" applyFill="1" applyBorder="1" applyAlignment="1">
      <x:alignment horizontal="center" vertical="top" wrapText="1"/>
    </x:xf>
    <x:xf numFmtId="201" fontId="11" fillId="130" borderId="0" xfId="0" applyNumberFormat="1" applyFont="1" applyFill="1" applyBorder="1" applyAlignment="1">
      <x:alignment horizontal="center" vertical="top" wrapText="1"/>
    </x:xf>
    <x:xf numFmtId="0" fontId="11" fillId="130" borderId="0" xfId="0" applyNumberFormat="1" applyFont="1" applyFill="1" applyBorder="1" applyAlignment="1">
      <x:alignment vertical="top" wrapText="1"/>
    </x:xf>
    <x:xf numFmtId="0" fontId="11" fillId="130" borderId="15" xfId="0" applyNumberFormat="1" applyFont="1" applyFill="1" applyBorder="1" applyAlignment="1">
      <x:alignment horizontal="center" vertical="top" wrapText="1"/>
    </x:xf>
    <x:xf numFmtId="0" fontId="11" fillId="132" borderId="15" xfId="0" applyNumberFormat="1" applyFont="1" applyFill="1" applyBorder="1" applyAlignment="1">
      <x:alignment horizontal="center" vertical="top" wrapText="1"/>
    </x:xf>
    <x:xf numFmtId="0" fontId="11" fillId="132" borderId="16" xfId="0" applyNumberFormat="1" applyFont="1" applyFill="1" applyBorder="1" applyAlignment="1">
      <x:alignment horizontal="center" vertical="top" wrapText="1"/>
    </x:xf>
    <x:xf numFmtId="0" fontId="11" fillId="132" borderId="16" xfId="0" applyNumberFormat="1" applyFont="1" applyFill="1" applyBorder="1" applyAlignment="1">
      <x:alignment vertical="top" wrapText="1"/>
    </x:xf>
    <x:xf numFmtId="0" fontId="11" fillId="132" borderId="17" xfId="0" applyNumberFormat="1" applyFont="1" applyFill="1" applyBorder="1" applyAlignment="1">
      <x:alignment vertical="top" wrapText="1"/>
    </x:xf>
    <x:xf numFmtId="0" fontId="11" fillId="132" borderId="18" xfId="0" applyNumberFormat="1" applyFont="1" applyFill="1" applyBorder="1" applyAlignment="1">
      <x:alignment horizontal="center" vertical="top" wrapText="1"/>
    </x:xf>
    <x:xf numFmtId="0" fontId="11" fillId="132" borderId="19" xfId="0" applyNumberFormat="1" applyFont="1" applyFill="1" applyBorder="1" applyAlignment="1">
      <x:alignment horizontal="center" vertical="top" wrapText="1"/>
    </x:xf>
    <x:xf numFmtId="0" fontId="11" fillId="132" borderId="19" xfId="0" applyNumberFormat="1" applyFont="1" applyFill="1" applyBorder="1" applyAlignment="1">
      <x:alignment vertical="top" wrapText="1"/>
    </x:xf>
    <x:xf numFmtId="0" fontId="11" fillId="132" borderId="20" xfId="0" applyNumberFormat="1" applyFont="1" applyFill="1" applyBorder="1" applyAlignment="1">
      <x:alignment vertical="top" wrapText="1"/>
    </x:xf>
    <x:xf numFmtId="0" fontId="11" fillId="132" borderId="0" xfId="0" applyNumberFormat="1" applyFont="1" applyFill="1" applyBorder="1" applyAlignment="1">
      <x:alignment horizontal="center" vertical="top" wrapText="1"/>
    </x:xf>
    <x:xf numFmtId="0" fontId="11" fillId="132" borderId="0" xfId="0" applyNumberFormat="1" applyFont="1" applyFill="1" applyBorder="1" applyAlignment="1">
      <x:alignment vertical="top" wrapText="1"/>
    </x:xf>
    <x:xf numFmtId="200" fontId="11" fillId="130" borderId="16" xfId="0" applyNumberFormat="1" applyFont="1" applyFill="1" applyBorder="1" applyAlignment="1">
      <x:alignment horizontal="center" vertical="top" wrapText="1"/>
    </x:xf>
    <x:xf numFmtId="200" fontId="11" fillId="131" borderId="19" xfId="0" applyNumberFormat="1" applyFont="1" applyFill="1" applyBorder="1" applyAlignment="1">
      <x:alignment horizontal="center" vertical="top" wrapText="1"/>
    </x:xf>
    <x:xf numFmtId="200" fontId="11" fillId="130" borderId="19" xfId="0" applyNumberFormat="1" applyFont="1" applyFill="1" applyBorder="1" applyAlignment="1">
      <x:alignment horizontal="center" vertical="top" wrapText="1"/>
    </x:xf>
    <x:xf numFmtId="0" fontId="1" fillId="133" borderId="0" xfId="0" applyNumberFormat="1" applyFont="1" applyFill="1" applyBorder="1" applyAlignment="1">
      <x:alignment horizontal="left" vertical="center"/>
    </x:xf>
    <x:xf numFmtId="0" fontId="14" fillId="130" borderId="11" xfId="0" applyNumberFormat="1" applyFont="1" applyFill="1" applyBorder="1" applyAlignment="1">
      <x:alignment vertical="center" wrapText="1"/>
    </x:xf>
    <x:xf numFmtId="202" fontId="13" fillId="130" borderId="11" xfId="0" applyNumberFormat="1" applyFont="1" applyFill="1" applyBorder="1" applyAlignment="1">
      <x:alignment vertical="center" wrapText="1"/>
    </x:xf>
    <x:xf numFmtId="0" fontId="13" fillId="130" borderId="11" xfId="0" applyNumberFormat="1" applyFont="1" applyFill="1" applyBorder="1" applyAlignment="1">
      <x:alignment vertical="center" wrapText="1"/>
    </x:xf>
    <x:xf numFmtId="0" fontId="15" fillId="134" borderId="0" xfId="0" applyNumberFormat="1" applyFont="1" applyFill="1" applyBorder="1" applyAlignment="1">
      <x:alignment vertical="center" wrapText="1"/>
    </x:xf>
    <x:xf numFmtId="0" fontId="16" fillId="130" borderId="11" xfId="0" applyNumberFormat="1" applyFont="1" applyFill="1" applyBorder="1" applyAlignment="1">
      <x:alignment horizontal="center" vertical="center"/>
    </x:xf>
    <x:xf numFmtId="0" fontId="16" fillId="131" borderId="11" xfId="0" applyNumberFormat="1" applyFont="1" applyFill="1" applyBorder="1" applyAlignment="1">
      <x:alignment horizontal="center" vertical="center"/>
    </x:xf>
    <x:xf numFmtId="203" fontId="16" fillId="131" borderId="11" xfId="0" applyNumberFormat="1" applyFont="1" applyFill="1" applyBorder="1" applyAlignment="1">
      <x:alignment horizontal="center" vertical="center"/>
    </x:xf>
    <x:xf numFmtId="0" fontId="17" fillId="135" borderId="12" xfId="0" applyNumberFormat="1" applyFont="1" applyFill="1" applyBorder="1" applyAlignment="1">
      <x:alignment vertical="center" wrapText="1"/>
    </x:xf>
    <x:xf numFmtId="0" fontId="18" fillId="136" borderId="13" xfId="0" applyNumberFormat="1" applyFont="1" applyFill="1" applyBorder="1" applyAlignment="1">
      <x:alignment horizontal="center" vertical="center" wrapText="1"/>
    </x:xf>
    <x:xf numFmtId="0" fontId="11" fillId="137" borderId="14" xfId="0" applyNumberFormat="1" applyFont="1" applyFill="1" applyBorder="1" applyAlignment="1">
      <x:alignment vertical="top" wrapText="1"/>
    </x:xf>
    <x:xf numFmtId="202" fontId="11" fillId="137" borderId="14" xfId="0" applyNumberFormat="1" applyFont="1" applyFill="1" applyBorder="1" applyAlignment="1">
      <x:alignment vertical="top" wrapText="1"/>
    </x:xf>
    <x:xf numFmtId="0" fontId="11" fillId="137" borderId="14" xfId="0" applyNumberFormat="1" applyFont="1" applyFill="1" applyBorder="1" applyAlignment="1">
      <x:alignment horizontal="center" vertical="top" wrapText="1"/>
    </x:xf>
    <x:xf numFmtId="0" fontId="11" fillId="131" borderId="14" xfId="0" applyNumberFormat="1" applyFont="1" applyFill="1" applyBorder="1" applyAlignment="1">
      <x:alignment vertical="top" wrapText="1"/>
    </x:xf>
    <x:xf numFmtId="202" fontId="11" fillId="131" borderId="14" xfId="0" applyNumberFormat="1" applyFont="1" applyFill="1" applyBorder="1" applyAlignment="1">
      <x:alignment vertical="top" wrapText="1"/>
    </x:xf>
    <x:xf numFmtId="0" fontId="11" fillId="131" borderId="14" xfId="0" applyNumberFormat="1" applyFont="1" applyFill="1" applyBorder="1" applyAlignment="1">
      <x:alignment horizontal="center" vertical="top" wrapText="1"/>
    </x:xf>
    <x:xf numFmtId="0" fontId="11" fillId="131" borderId="0" xfId="0" applyNumberFormat="1" applyFont="1" applyFill="1" applyBorder="1" applyAlignment="1">
      <x:alignment vertical="top" wrapText="1"/>
    </x:xf>
    <x:xf numFmtId="0" fontId="11" fillId="131" borderId="0" xfId="0" applyNumberFormat="1" applyFont="1" applyFill="1" applyBorder="1" applyAlignment="1">
      <x:alignment horizontal="center" vertical="top" wrapText="1"/>
    </x:xf>
    <x:xf numFmtId="0" fontId="11" fillId="137" borderId="0" xfId="0" applyNumberFormat="1" applyFont="1" applyFill="1" applyBorder="1" applyAlignment="1">
      <x:alignment vertical="top" wrapText="1"/>
    </x:xf>
    <x:xf numFmtId="0" fontId="11" fillId="137" borderId="0" xfId="0" applyNumberFormat="1" applyFont="1" applyFill="1" applyBorder="1" applyAlignment="1">
      <x:alignment horizontal="center" vertical="top" wrapText="1"/>
    </x:xf>
    <x:xf numFmtId="0" fontId="1" fillId="133" borderId="0" xfId="0" applyNumberFormat="1" applyFont="1" applyFill="1" applyBorder="1" applyAlignment="1">
      <x:alignment vertical="center"/>
    </x:xf>
    <x:xf numFmtId="0" fontId="13" fillId="130" borderId="0" xfId="0" applyNumberFormat="1" applyFont="1" applyFill="1" applyBorder="1" applyAlignment="1">
      <x:alignment vertical="center" wrapText="1"/>
    </x:xf>
    <x:xf numFmtId="0" fontId="3" fillId="129" borderId="0" xfId="0" applyNumberFormat="1" applyFont="1" applyFill="1" applyBorder="1" applyAlignment="1">
      <x:alignment horizontal="center" vertical="center" wrapText="1"/>
    </x:xf>
    <x:xf numFmtId="0" fontId="20" fillId="138" borderId="10" xfId="0" applyNumberFormat="1" applyFont="1" applyFill="1" applyBorder="1" applyAlignment="1">
      <x:alignment vertical="top" wrapText="1"/>
    </x:xf>
    <x:xf numFmtId="0" fontId="20" fillId="138" borderId="10" xfId="0" applyNumberFormat="1" applyFont="1" applyFill="1" applyBorder="1"/>
    <x:xf numFmtId="0" fontId="20" fillId="138" borderId="10" xfId="0" applyNumberFormat="1" applyFont="1" applyFill="1" applyBorder="1" applyAlignment="1">
      <x:alignment wrapText="1"/>
    </x:xf>
    <x:xf numFmtId="0" fontId="20" fillId="138" borderId="10" xfId="0" applyNumberFormat="1" applyFont="1" applyFill="1" applyBorder="1" applyAlignment="1">
      <x:alignment vertical="center" wrapText="1"/>
    </x:xf>
    <x:xf numFmtId="0" fontId="30" fillId="138" borderId="10" xfId="0" applyNumberFormat="1" applyFont="1" applyFill="1" applyBorder="1" applyAlignment="1">
      <x:alignment vertical="top" wrapText="1"/>
    </x:xf>
    <x:xf numFmtId="0" fontId="30" fillId="138" borderId="10" xfId="0" applyNumberFormat="1" applyFont="1" applyFill="1" applyBorder="1"/>
    <x:xf numFmtId="0" fontId="30" fillId="138" borderId="10" xfId="0" applyNumberFormat="1" applyFont="1" applyFill="1" applyBorder="1" applyAlignment="1">
      <x:alignment wrapText="1"/>
    </x:xf>
    <x:xf numFmtId="0" fontId="30" fillId="138" borderId="10" xfId="0" applyNumberFormat="1" applyFont="1" applyFill="1" applyBorder="1" applyAlignment="1">
      <x:alignment vertical="center" wrapText="1"/>
    </x:xf>
    <x:xf numFmtId="0" fontId="3" fillId="139" borderId="1" xfId="0" applyNumberFormat="1" applyFont="1" applyFill="1" applyBorder="1" applyAlignment="1">
      <x:alignment horizontal="center" vertical="center" wrapText="1"/>
    </x:xf>
    <x:xf numFmtId="0" fontId="10" fillId="140" borderId="15" xfId="0" applyNumberFormat="1" applyFont="1" applyFill="1" applyBorder="1" applyAlignment="1">
      <x:alignment horizontal="center" vertical="top" wrapText="1"/>
    </x:xf>
    <x:xf numFmtId="0" fontId="11" fillId="140" borderId="16" xfId="0" applyNumberFormat="1" applyFont="1" applyFill="1" applyBorder="1" applyAlignment="1">
      <x:alignment horizontal="center" vertical="top" wrapText="1"/>
    </x:xf>
    <x:xf numFmtId="201" fontId="11" fillId="140" borderId="16" xfId="0" applyNumberFormat="1" applyFont="1" applyFill="1" applyBorder="1" applyAlignment="1">
      <x:alignment horizontal="center" vertical="top" wrapText="1"/>
    </x:xf>
    <x:xf numFmtId="0" fontId="11" fillId="140" borderId="16" xfId="0" applyNumberFormat="1" applyFont="1" applyFill="1" applyBorder="1" applyAlignment="1">
      <x:alignment vertical="top" wrapText="1"/>
    </x:xf>
    <x:xf numFmtId="0" fontId="11" fillId="140" borderId="17" xfId="0" applyNumberFormat="1" applyFont="1" applyFill="1" applyBorder="1" applyAlignment="1">
      <x:alignment vertical="top" wrapText="1"/>
    </x:xf>
    <x:xf numFmtId="0" fontId="11" fillId="141" borderId="18" xfId="0" applyNumberFormat="1" applyFont="1" applyFill="1" applyBorder="1" applyAlignment="1">
      <x:alignment horizontal="center" vertical="top" wrapText="1"/>
    </x:xf>
    <x:xf numFmtId="0" fontId="11" fillId="141" borderId="19" xfId="0" applyNumberFormat="1" applyFont="1" applyFill="1" applyBorder="1" applyAlignment="1">
      <x:alignment horizontal="center" vertical="top" wrapText="1"/>
    </x:xf>
    <x:xf numFmtId="201" fontId="11" fillId="141" borderId="19" xfId="0" applyNumberFormat="1" applyFont="1" applyFill="1" applyBorder="1" applyAlignment="1">
      <x:alignment horizontal="center" vertical="top" wrapText="1"/>
    </x:xf>
    <x:xf numFmtId="0" fontId="11" fillId="141" borderId="19" xfId="0" applyNumberFormat="1" applyFont="1" applyFill="1" applyBorder="1" applyAlignment="1">
      <x:alignment vertical="top" wrapText="1"/>
    </x:xf>
    <x:xf numFmtId="0" fontId="11" fillId="141" borderId="20" xfId="0" applyNumberFormat="1" applyFont="1" applyFill="1" applyBorder="1" applyAlignment="1">
      <x:alignment vertical="top" wrapText="1"/>
    </x:xf>
    <x:xf numFmtId="0" fontId="10" fillId="140" borderId="18" xfId="0" applyNumberFormat="1" applyFont="1" applyFill="1" applyBorder="1" applyAlignment="1">
      <x:alignment horizontal="center" vertical="top" wrapText="1"/>
    </x:xf>
    <x:xf numFmtId="0" fontId="11" fillId="140" borderId="19" xfId="0" applyNumberFormat="1" applyFont="1" applyFill="1" applyBorder="1" applyAlignment="1">
      <x:alignment horizontal="center" vertical="top" wrapText="1"/>
    </x:xf>
    <x:xf numFmtId="201" fontId="11" fillId="140" borderId="19" xfId="0" applyNumberFormat="1" applyFont="1" applyFill="1" applyBorder="1" applyAlignment="1">
      <x:alignment horizontal="center" vertical="top" wrapText="1"/>
    </x:xf>
    <x:xf numFmtId="0" fontId="11" fillId="140" borderId="19" xfId="0" applyNumberFormat="1" applyFont="1" applyFill="1" applyBorder="1" applyAlignment="1">
      <x:alignment vertical="top" wrapText="1"/>
    </x:xf>
    <x:xf numFmtId="0" fontId="11" fillId="140" borderId="20" xfId="0" applyNumberFormat="1" applyFont="1" applyFill="1" applyBorder="1" applyAlignment="1">
      <x:alignment vertical="top" wrapText="1"/>
    </x:xf>
    <x:xf numFmtId="0" fontId="10" fillId="141" borderId="18" xfId="0" applyNumberFormat="1" applyFont="1" applyFill="1" applyBorder="1" applyAlignment="1">
      <x:alignment horizontal="center" vertical="top" wrapText="1"/>
    </x:xf>
    <x:xf numFmtId="0" fontId="11" fillId="140" borderId="18" xfId="0" applyNumberFormat="1" applyFont="1" applyFill="1" applyBorder="1" applyAlignment="1">
      <x:alignment horizontal="center" vertical="top" wrapText="1"/>
    </x:xf>
    <x:xf numFmtId="0" fontId="11" fillId="141" borderId="21" xfId="0" applyNumberFormat="1" applyFont="1" applyFill="1" applyBorder="1" applyAlignment="1">
      <x:alignment horizontal="center" vertical="top" wrapText="1"/>
    </x:xf>
    <x:xf numFmtId="0" fontId="11" fillId="141" borderId="22" xfId="0" applyNumberFormat="1" applyFont="1" applyFill="1" applyBorder="1" applyAlignment="1">
      <x:alignment horizontal="center" vertical="top" wrapText="1"/>
    </x:xf>
    <x:xf numFmtId="201" fontId="11" fillId="141" borderId="22" xfId="0" applyNumberFormat="1" applyFont="1" applyFill="1" applyBorder="1" applyAlignment="1">
      <x:alignment horizontal="center" vertical="top" wrapText="1"/>
    </x:xf>
    <x:xf numFmtId="0" fontId="11" fillId="141" borderId="22" xfId="0" applyNumberFormat="1" applyFont="1" applyFill="1" applyBorder="1" applyAlignment="1">
      <x:alignment vertical="top" wrapText="1"/>
    </x:xf>
    <x:xf numFmtId="0" fontId="11" fillId="141" borderId="23" xfId="0" applyNumberFormat="1" applyFont="1" applyFill="1" applyBorder="1" applyAlignment="1">
      <x:alignment vertical="top" wrapText="1"/>
    </x:xf>
    <x:xf numFmtId="0" fontId="11" fillId="140" borderId="0" xfId="0" applyNumberFormat="1" applyFont="1" applyFill="1" applyBorder="1" applyAlignment="1">
      <x:alignment horizontal="center" vertical="top" wrapText="1"/>
    </x:xf>
    <x:xf numFmtId="201" fontId="11" fillId="140" borderId="0" xfId="0" applyNumberFormat="1" applyFont="1" applyFill="1" applyBorder="1" applyAlignment="1">
      <x:alignment horizontal="center" vertical="top" wrapText="1"/>
    </x:xf>
    <x:xf numFmtId="0" fontId="11" fillId="140" borderId="0" xfId="0" applyNumberFormat="1" applyFont="1" applyFill="1" applyBorder="1" applyAlignment="1">
      <x:alignment vertical="top" wrapText="1"/>
    </x:xf>
    <x:xf numFmtId="0" fontId="11" fillId="140" borderId="15" xfId="0" applyNumberFormat="1" applyFont="1" applyFill="1" applyBorder="1" applyAlignment="1">
      <x:alignment horizontal="center" vertical="top" wrapText="1"/>
    </x:xf>
    <x:xf numFmtId="0" fontId="11" fillId="142" borderId="15" xfId="0" applyNumberFormat="1" applyFont="1" applyFill="1" applyBorder="1" applyAlignment="1">
      <x:alignment horizontal="center" vertical="top" wrapText="1"/>
    </x:xf>
    <x:xf numFmtId="0" fontId="11" fillId="142" borderId="16" xfId="0" applyNumberFormat="1" applyFont="1" applyFill="1" applyBorder="1" applyAlignment="1">
      <x:alignment horizontal="center" vertical="top" wrapText="1"/>
    </x:xf>
    <x:xf numFmtId="0" fontId="11" fillId="142" borderId="16" xfId="0" applyNumberFormat="1" applyFont="1" applyFill="1" applyBorder="1" applyAlignment="1">
      <x:alignment vertical="top" wrapText="1"/>
    </x:xf>
    <x:xf numFmtId="0" fontId="11" fillId="142" borderId="17" xfId="0" applyNumberFormat="1" applyFont="1" applyFill="1" applyBorder="1" applyAlignment="1">
      <x:alignment vertical="top" wrapText="1"/>
    </x:xf>
    <x:xf numFmtId="0" fontId="11" fillId="142" borderId="18" xfId="0" applyNumberFormat="1" applyFont="1" applyFill="1" applyBorder="1" applyAlignment="1">
      <x:alignment horizontal="center" vertical="top" wrapText="1"/>
    </x:xf>
    <x:xf numFmtId="0" fontId="11" fillId="142" borderId="19" xfId="0" applyNumberFormat="1" applyFont="1" applyFill="1" applyBorder="1" applyAlignment="1">
      <x:alignment horizontal="center" vertical="top" wrapText="1"/>
    </x:xf>
    <x:xf numFmtId="0" fontId="11" fillId="142" borderId="19" xfId="0" applyNumberFormat="1" applyFont="1" applyFill="1" applyBorder="1" applyAlignment="1">
      <x:alignment vertical="top" wrapText="1"/>
    </x:xf>
    <x:xf numFmtId="0" fontId="11" fillId="142" borderId="20" xfId="0" applyNumberFormat="1" applyFont="1" applyFill="1" applyBorder="1" applyAlignment="1">
      <x:alignment vertical="top" wrapText="1"/>
    </x:xf>
    <x:xf numFmtId="0" fontId="11" fillId="142" borderId="0" xfId="0" applyNumberFormat="1" applyFont="1" applyFill="1" applyBorder="1" applyAlignment="1">
      <x:alignment horizontal="center" vertical="top" wrapText="1"/>
    </x:xf>
    <x:xf numFmtId="0" fontId="11" fillId="142" borderId="0" xfId="0" applyNumberFormat="1" applyFont="1" applyFill="1" applyBorder="1" applyAlignment="1">
      <x:alignment vertical="top" wrapText="1"/>
    </x:xf>
    <x:xf numFmtId="200" fontId="11" fillId="140" borderId="16" xfId="0" applyNumberFormat="1" applyFont="1" applyFill="1" applyBorder="1" applyAlignment="1">
      <x:alignment horizontal="center" vertical="top" wrapText="1"/>
    </x:xf>
    <x:xf numFmtId="200" fontId="11" fillId="141" borderId="19" xfId="0" applyNumberFormat="1" applyFont="1" applyFill="1" applyBorder="1" applyAlignment="1">
      <x:alignment horizontal="center" vertical="top" wrapText="1"/>
    </x:xf>
    <x:xf numFmtId="200" fontId="11" fillId="140" borderId="19" xfId="0" applyNumberFormat="1" applyFont="1" applyFill="1" applyBorder="1" applyAlignment="1">
      <x:alignment horizontal="center" vertical="top" wrapText="1"/>
    </x:xf>
    <x:xf numFmtId="204" fontId="11" fillId="25" borderId="14" xfId="0" applyNumberFormat="1" applyFont="1" applyFill="1" applyBorder="1" applyAlignment="1">
      <x:alignment vertical="top" wrapText="1"/>
    </x:xf>
    <x:xf numFmtId="204" fontId="11" fillId="6" borderId="14" xfId="0" applyNumberFormat="1" applyFont="1" applyFill="1" applyBorder="1" applyAlignment="1">
      <x:alignment vertical="top" wrapText="1"/>
    </x:xf>
    <x:xf numFmtId="204" fontId="11" fillId="6" borderId="0" xfId="0" applyNumberFormat="1" applyFont="1" applyFill="1" applyBorder="1" applyAlignment="1">
      <x:alignment vertical="top" wrapText="1"/>
    </x:xf>
    <x:xf numFmtId="0" fontId="1" fillId="143" borderId="0" xfId="0" applyNumberFormat="1" applyFont="1" applyFill="1" applyBorder="1" applyAlignment="1">
      <x:alignment horizontal="left" vertical="center"/>
    </x:xf>
    <x:xf numFmtId="0" fontId="14" fillId="140" borderId="11" xfId="0" applyNumberFormat="1" applyFont="1" applyFill="1" applyBorder="1" applyAlignment="1">
      <x:alignment vertical="center" wrapText="1"/>
    </x:xf>
    <x:xf numFmtId="202" fontId="13" fillId="140" borderId="11" xfId="0" applyNumberFormat="1" applyFont="1" applyFill="1" applyBorder="1" applyAlignment="1">
      <x:alignment vertical="center" wrapText="1"/>
    </x:xf>
    <x:xf numFmtId="0" fontId="13" fillId="140" borderId="11" xfId="0" applyNumberFormat="1" applyFont="1" applyFill="1" applyBorder="1" applyAlignment="1">
      <x:alignment vertical="center" wrapText="1"/>
    </x:xf>
    <x:xf numFmtId="0" fontId="15" fillId="144" borderId="0" xfId="0" applyNumberFormat="1" applyFont="1" applyFill="1" applyBorder="1" applyAlignment="1">
      <x:alignment vertical="center" wrapText="1"/>
    </x:xf>
    <x:xf numFmtId="0" fontId="16" fillId="140" borderId="11" xfId="0" applyNumberFormat="1" applyFont="1" applyFill="1" applyBorder="1" applyAlignment="1">
      <x:alignment horizontal="center" vertical="center"/>
    </x:xf>
    <x:xf numFmtId="0" fontId="16" fillId="141" borderId="11" xfId="0" applyNumberFormat="1" applyFont="1" applyFill="1" applyBorder="1" applyAlignment="1">
      <x:alignment horizontal="center" vertical="center"/>
    </x:xf>
    <x:xf numFmtId="203" fontId="16" fillId="141" borderId="11" xfId="0" applyNumberFormat="1" applyFont="1" applyFill="1" applyBorder="1" applyAlignment="1">
      <x:alignment horizontal="center" vertical="center"/>
    </x:xf>
    <x:xf numFmtId="0" fontId="17" fillId="145" borderId="12" xfId="0" applyNumberFormat="1" applyFont="1" applyFill="1" applyBorder="1" applyAlignment="1">
      <x:alignment vertical="center" wrapText="1"/>
    </x:xf>
    <x:xf numFmtId="0" fontId="18" fillId="146" borderId="13" xfId="0" applyNumberFormat="1" applyFont="1" applyFill="1" applyBorder="1" applyAlignment="1">
      <x:alignment horizontal="center" vertical="center" wrapText="1"/>
    </x:xf>
    <x:xf numFmtId="0" fontId="11" fillId="147" borderId="14" xfId="0" applyNumberFormat="1" applyFont="1" applyFill="1" applyBorder="1" applyAlignment="1">
      <x:alignment vertical="top" wrapText="1"/>
    </x:xf>
    <x:xf numFmtId="204" fontId="11" fillId="147" borderId="14" xfId="0" applyNumberFormat="1" applyFont="1" applyFill="1" applyBorder="1" applyAlignment="1">
      <x:alignment vertical="top" wrapText="1"/>
    </x:xf>
    <x:xf numFmtId="0" fontId="11" fillId="147" borderId="14" xfId="0" applyNumberFormat="1" applyFont="1" applyFill="1" applyBorder="1" applyAlignment="1">
      <x:alignment horizontal="center" vertical="top" wrapText="1"/>
    </x:xf>
    <x:xf numFmtId="0" fontId="11" fillId="141" borderId="14" xfId="0" applyNumberFormat="1" applyFont="1" applyFill="1" applyBorder="1" applyAlignment="1">
      <x:alignment vertical="top" wrapText="1"/>
    </x:xf>
    <x:xf numFmtId="204" fontId="11" fillId="141" borderId="14" xfId="0" applyNumberFormat="1" applyFont="1" applyFill="1" applyBorder="1" applyAlignment="1">
      <x:alignment vertical="top" wrapText="1"/>
    </x:xf>
    <x:xf numFmtId="0" fontId="11" fillId="141" borderId="14" xfId="0" applyNumberFormat="1" applyFont="1" applyFill="1" applyBorder="1" applyAlignment="1">
      <x:alignment horizontal="center" vertical="top" wrapText="1"/>
    </x:xf>
    <x:xf numFmtId="0" fontId="11" fillId="141" borderId="0" xfId="0" applyNumberFormat="1" applyFont="1" applyFill="1" applyBorder="1" applyAlignment="1">
      <x:alignment vertical="top" wrapText="1"/>
    </x:xf>
    <x:xf numFmtId="204" fontId="11" fillId="141" borderId="0" xfId="0" applyNumberFormat="1" applyFont="1" applyFill="1" applyBorder="1" applyAlignment="1">
      <x:alignment vertical="top" wrapText="1"/>
    </x:xf>
    <x:xf numFmtId="0" fontId="11" fillId="141" borderId="0" xfId="0" applyNumberFormat="1" applyFont="1" applyFill="1" applyBorder="1" applyAlignment="1">
      <x:alignment horizontal="center" vertical="top" wrapText="1"/>
    </x:xf>
    <x:xf numFmtId="0" fontId="1" fillId="143" borderId="0" xfId="0" applyNumberFormat="1" applyFont="1" applyFill="1" applyBorder="1" applyAlignment="1">
      <x:alignment vertical="center"/>
    </x:xf>
    <x:xf numFmtId="0" fontId="13" fillId="140" borderId="0" xfId="0" applyNumberFormat="1" applyFont="1" applyFill="1" applyBorder="1" applyAlignment="1">
      <x:alignment vertical="center" wrapText="1"/>
    </x:xf>
    <x:xf numFmtId="0" fontId="3" fillId="139" borderId="0" xfId="0" applyNumberFormat="1" applyFont="1" applyFill="1" applyBorder="1" applyAlignment="1">
      <x:alignment horizontal="center" vertical="center" wrapText="1"/>
    </x:xf>
    <x:xf numFmtId="204" fontId="11" fillId="25" borderId="0" xfId="0" applyNumberFormat="1" applyFont="1" applyFill="1" applyBorder="1" applyAlignment="1">
      <x:alignment horizontal="center" vertical="top" wrapText="1"/>
    </x:xf>
    <x:xf numFmtId="204" fontId="11" fillId="6" borderId="0" xfId="0" applyNumberFormat="1" applyFont="1" applyFill="1" applyBorder="1" applyAlignment="1">
      <x:alignment horizontal="center" vertical="top" wrapText="1"/>
    </x:xf>
    <x:xf numFmtId="0" fontId="11" fillId="147" borderId="0" xfId="0" applyNumberFormat="1" applyFont="1" applyFill="1" applyBorder="1" applyAlignment="1">
      <x:alignment horizontal="center" vertical="top" wrapText="1"/>
    </x:xf>
    <x:xf numFmtId="204" fontId="11" fillId="147" borderId="0" xfId="0" applyNumberFormat="1" applyFont="1" applyFill="1" applyBorder="1" applyAlignment="1">
      <x:alignment horizontal="center" vertical="top" wrapText="1"/>
    </x:xf>
    <x:xf numFmtId="0" fontId="11" fillId="147" borderId="0" xfId="0" applyNumberFormat="1" applyFont="1" applyFill="1" applyBorder="1" applyAlignment="1">
      <x:alignment vertical="top" wrapText="1"/>
    </x:xf>
    <x:xf numFmtId="204" fontId="11" fillId="141" borderId="0" xfId="0" applyNumberFormat="1" applyFont="1" applyFill="1" applyBorder="1" applyAlignment="1">
      <x:alignment horizontal="center" vertical="top" wrapText="1"/>
    </x:xf>
    <x:xf numFmtId="0" fontId="20" fillId="148" borderId="10" xfId="0" applyNumberFormat="1" applyFont="1" applyFill="1" applyBorder="1" applyAlignment="1">
      <x:alignment vertical="top" wrapText="1"/>
    </x:xf>
    <x:xf numFmtId="0" fontId="20" fillId="148" borderId="10" xfId="0" applyNumberFormat="1" applyFont="1" applyFill="1" applyBorder="1"/>
    <x:xf numFmtId="0" fontId="20" fillId="148" borderId="10" xfId="0" applyNumberFormat="1" applyFont="1" applyFill="1" applyBorder="1" applyAlignment="1">
      <x:alignment wrapText="1"/>
    </x:xf>
    <x:xf numFmtId="0" fontId="20" fillId="148" borderId="10" xfId="0" applyNumberFormat="1" applyFont="1" applyFill="1" applyBorder="1" applyAlignment="1">
      <x:alignment vertical="center" wrapText="1"/>
    </x:xf>
    <x:xf numFmtId="0" fontId="31" fillId="148" borderId="10" xfId="0" applyNumberFormat="1" applyFont="1" applyFill="1" applyBorder="1" applyAlignment="1">
      <x:alignment vertical="top" wrapText="1"/>
    </x:xf>
    <x:xf numFmtId="0" fontId="31" fillId="148" borderId="10" xfId="0" applyNumberFormat="1" applyFont="1" applyFill="1" applyBorder="1"/>
    <x:xf numFmtId="0" fontId="31" fillId="148" borderId="10" xfId="0" applyNumberFormat="1" applyFont="1" applyFill="1" applyBorder="1" applyAlignment="1">
      <x:alignment wrapText="1"/>
    </x:xf>
    <x:xf numFmtId="0" fontId="31" fillId="148" borderId="10" xfId="0" applyNumberFormat="1" applyFont="1" applyFill="1" applyBorder="1" applyAlignment="1">
      <x:alignment vertical="center" wrapText="1"/>
    </x:xf>
    <x:xf numFmtId="0" fontId="3" fillId="149" borderId="1" xfId="0" applyNumberFormat="1" applyFont="1" applyFill="1" applyBorder="1" applyAlignment="1">
      <x:alignment horizontal="center" vertical="center" wrapText="1"/>
    </x:xf>
    <x:xf numFmtId="0" fontId="10" fillId="150" borderId="15" xfId="0" applyNumberFormat="1" applyFont="1" applyFill="1" applyBorder="1" applyAlignment="1">
      <x:alignment horizontal="center" vertical="top" wrapText="1"/>
    </x:xf>
    <x:xf numFmtId="0" fontId="11" fillId="150" borderId="16" xfId="0" applyNumberFormat="1" applyFont="1" applyFill="1" applyBorder="1" applyAlignment="1">
      <x:alignment horizontal="center" vertical="top" wrapText="1"/>
    </x:xf>
    <x:xf numFmtId="201" fontId="11" fillId="150" borderId="16" xfId="0" applyNumberFormat="1" applyFont="1" applyFill="1" applyBorder="1" applyAlignment="1">
      <x:alignment horizontal="center" vertical="top" wrapText="1"/>
    </x:xf>
    <x:xf numFmtId="0" fontId="11" fillId="150" borderId="16" xfId="0" applyNumberFormat="1" applyFont="1" applyFill="1" applyBorder="1" applyAlignment="1">
      <x:alignment vertical="top" wrapText="1"/>
    </x:xf>
    <x:xf numFmtId="0" fontId="11" fillId="150" borderId="17" xfId="0" applyNumberFormat="1" applyFont="1" applyFill="1" applyBorder="1" applyAlignment="1">
      <x:alignment vertical="top" wrapText="1"/>
    </x:xf>
    <x:xf numFmtId="0" fontId="11" fillId="151" borderId="18" xfId="0" applyNumberFormat="1" applyFont="1" applyFill="1" applyBorder="1" applyAlignment="1">
      <x:alignment horizontal="center" vertical="top" wrapText="1"/>
    </x:xf>
    <x:xf numFmtId="0" fontId="11" fillId="151" borderId="19" xfId="0" applyNumberFormat="1" applyFont="1" applyFill="1" applyBorder="1" applyAlignment="1">
      <x:alignment horizontal="center" vertical="top" wrapText="1"/>
    </x:xf>
    <x:xf numFmtId="201" fontId="11" fillId="151" borderId="19" xfId="0" applyNumberFormat="1" applyFont="1" applyFill="1" applyBorder="1" applyAlignment="1">
      <x:alignment horizontal="center" vertical="top" wrapText="1"/>
    </x:xf>
    <x:xf numFmtId="0" fontId="11" fillId="151" borderId="19" xfId="0" applyNumberFormat="1" applyFont="1" applyFill="1" applyBorder="1" applyAlignment="1">
      <x:alignment vertical="top" wrapText="1"/>
    </x:xf>
    <x:xf numFmtId="0" fontId="11" fillId="151" borderId="20" xfId="0" applyNumberFormat="1" applyFont="1" applyFill="1" applyBorder="1" applyAlignment="1">
      <x:alignment vertical="top" wrapText="1"/>
    </x:xf>
    <x:xf numFmtId="0" fontId="10" fillId="150" borderId="18" xfId="0" applyNumberFormat="1" applyFont="1" applyFill="1" applyBorder="1" applyAlignment="1">
      <x:alignment horizontal="center" vertical="top" wrapText="1"/>
    </x:xf>
    <x:xf numFmtId="0" fontId="11" fillId="150" borderId="19" xfId="0" applyNumberFormat="1" applyFont="1" applyFill="1" applyBorder="1" applyAlignment="1">
      <x:alignment horizontal="center" vertical="top" wrapText="1"/>
    </x:xf>
    <x:xf numFmtId="201" fontId="11" fillId="150" borderId="19" xfId="0" applyNumberFormat="1" applyFont="1" applyFill="1" applyBorder="1" applyAlignment="1">
      <x:alignment horizontal="center" vertical="top" wrapText="1"/>
    </x:xf>
    <x:xf numFmtId="0" fontId="11" fillId="150" borderId="19" xfId="0" applyNumberFormat="1" applyFont="1" applyFill="1" applyBorder="1" applyAlignment="1">
      <x:alignment vertical="top" wrapText="1"/>
    </x:xf>
    <x:xf numFmtId="0" fontId="11" fillId="150" borderId="20" xfId="0" applyNumberFormat="1" applyFont="1" applyFill="1" applyBorder="1" applyAlignment="1">
      <x:alignment vertical="top" wrapText="1"/>
    </x:xf>
    <x:xf numFmtId="0" fontId="10" fillId="151" borderId="18" xfId="0" applyNumberFormat="1" applyFont="1" applyFill="1" applyBorder="1" applyAlignment="1">
      <x:alignment horizontal="center" vertical="top" wrapText="1"/>
    </x:xf>
    <x:xf numFmtId="0" fontId="11" fillId="150" borderId="18" xfId="0" applyNumberFormat="1" applyFont="1" applyFill="1" applyBorder="1" applyAlignment="1">
      <x:alignment horizontal="center" vertical="top" wrapText="1"/>
    </x:xf>
    <x:xf numFmtId="0" fontId="11" fillId="151" borderId="21" xfId="0" applyNumberFormat="1" applyFont="1" applyFill="1" applyBorder="1" applyAlignment="1">
      <x:alignment horizontal="center" vertical="top" wrapText="1"/>
    </x:xf>
    <x:xf numFmtId="0" fontId="11" fillId="151" borderId="22" xfId="0" applyNumberFormat="1" applyFont="1" applyFill="1" applyBorder="1" applyAlignment="1">
      <x:alignment horizontal="center" vertical="top" wrapText="1"/>
    </x:xf>
    <x:xf numFmtId="201" fontId="11" fillId="151" borderId="22" xfId="0" applyNumberFormat="1" applyFont="1" applyFill="1" applyBorder="1" applyAlignment="1">
      <x:alignment horizontal="center" vertical="top" wrapText="1"/>
    </x:xf>
    <x:xf numFmtId="0" fontId="11" fillId="151" borderId="22" xfId="0" applyNumberFormat="1" applyFont="1" applyFill="1" applyBorder="1" applyAlignment="1">
      <x:alignment vertical="top" wrapText="1"/>
    </x:xf>
    <x:xf numFmtId="0" fontId="11" fillId="151" borderId="23" xfId="0" applyNumberFormat="1" applyFont="1" applyFill="1" applyBorder="1" applyAlignment="1">
      <x:alignment vertical="top" wrapText="1"/>
    </x:xf>
    <x:xf numFmtId="0" fontId="11" fillId="150" borderId="0" xfId="0" applyNumberFormat="1" applyFont="1" applyFill="1" applyBorder="1" applyAlignment="1">
      <x:alignment horizontal="center" vertical="top" wrapText="1"/>
    </x:xf>
    <x:xf numFmtId="201" fontId="11" fillId="150" borderId="0" xfId="0" applyNumberFormat="1" applyFont="1" applyFill="1" applyBorder="1" applyAlignment="1">
      <x:alignment horizontal="center" vertical="top" wrapText="1"/>
    </x:xf>
    <x:xf numFmtId="0" fontId="11" fillId="150" borderId="0" xfId="0" applyNumberFormat="1" applyFont="1" applyFill="1" applyBorder="1" applyAlignment="1">
      <x:alignment vertical="top" wrapText="1"/>
    </x:xf>
    <x:xf numFmtId="0" fontId="11" fillId="151" borderId="0" xfId="0" applyNumberFormat="1" applyFont="1" applyFill="1" applyBorder="1" applyAlignment="1">
      <x:alignment horizontal="center" vertical="top" wrapText="1"/>
    </x:xf>
    <x:xf numFmtId="201" fontId="11" fillId="151" borderId="0" xfId="0" applyNumberFormat="1" applyFont="1" applyFill="1" applyBorder="1" applyAlignment="1">
      <x:alignment horizontal="center" vertical="top" wrapText="1"/>
    </x:xf>
    <x:xf numFmtId="0" fontId="11" fillId="151" borderId="0" xfId="0" applyNumberFormat="1" applyFont="1" applyFill="1" applyBorder="1" applyAlignment="1">
      <x:alignment vertical="top" wrapText="1"/>
    </x:xf>
    <x:xf numFmtId="0" fontId="11" fillId="150" borderId="15" xfId="0" applyNumberFormat="1" applyFont="1" applyFill="1" applyBorder="1" applyAlignment="1">
      <x:alignment horizontal="center" vertical="top" wrapText="1"/>
    </x:xf>
    <x:xf numFmtId="0" fontId="11" fillId="152" borderId="15" xfId="0" applyNumberFormat="1" applyFont="1" applyFill="1" applyBorder="1" applyAlignment="1">
      <x:alignment horizontal="center" vertical="top" wrapText="1"/>
    </x:xf>
    <x:xf numFmtId="0" fontId="11" fillId="152" borderId="16" xfId="0" applyNumberFormat="1" applyFont="1" applyFill="1" applyBorder="1" applyAlignment="1">
      <x:alignment horizontal="center" vertical="top" wrapText="1"/>
    </x:xf>
    <x:xf numFmtId="0" fontId="11" fillId="152" borderId="16" xfId="0" applyNumberFormat="1" applyFont="1" applyFill="1" applyBorder="1" applyAlignment="1">
      <x:alignment vertical="top" wrapText="1"/>
    </x:xf>
    <x:xf numFmtId="0" fontId="11" fillId="152" borderId="17" xfId="0" applyNumberFormat="1" applyFont="1" applyFill="1" applyBorder="1" applyAlignment="1">
      <x:alignment vertical="top" wrapText="1"/>
    </x:xf>
    <x:xf numFmtId="0" fontId="11" fillId="152" borderId="18" xfId="0" applyNumberFormat="1" applyFont="1" applyFill="1" applyBorder="1" applyAlignment="1">
      <x:alignment horizontal="center" vertical="top" wrapText="1"/>
    </x:xf>
    <x:xf numFmtId="0" fontId="11" fillId="152" borderId="19" xfId="0" applyNumberFormat="1" applyFont="1" applyFill="1" applyBorder="1" applyAlignment="1">
      <x:alignment horizontal="center" vertical="top" wrapText="1"/>
    </x:xf>
    <x:xf numFmtId="0" fontId="11" fillId="152" borderId="19" xfId="0" applyNumberFormat="1" applyFont="1" applyFill="1" applyBorder="1" applyAlignment="1">
      <x:alignment vertical="top" wrapText="1"/>
    </x:xf>
    <x:xf numFmtId="0" fontId="11" fillId="152" borderId="20" xfId="0" applyNumberFormat="1" applyFont="1" applyFill="1" applyBorder="1" applyAlignment="1">
      <x:alignment vertical="top" wrapText="1"/>
    </x:xf>
    <x:xf numFmtId="0" fontId="11" fillId="152" borderId="0" xfId="0" applyNumberFormat="1" applyFont="1" applyFill="1" applyBorder="1" applyAlignment="1">
      <x:alignment horizontal="center" vertical="top" wrapText="1"/>
    </x:xf>
    <x:xf numFmtId="0" fontId="11" fillId="152" borderId="0" xfId="0" applyNumberFormat="1" applyFont="1" applyFill="1" applyBorder="1" applyAlignment="1">
      <x:alignment vertical="top" wrapText="1"/>
    </x:xf>
    <x:xf numFmtId="200" fontId="11" fillId="150" borderId="16" xfId="0" applyNumberFormat="1" applyFont="1" applyFill="1" applyBorder="1" applyAlignment="1">
      <x:alignment horizontal="center" vertical="top" wrapText="1"/>
    </x:xf>
    <x:xf numFmtId="200" fontId="11" fillId="151" borderId="19" xfId="0" applyNumberFormat="1" applyFont="1" applyFill="1" applyBorder="1" applyAlignment="1">
      <x:alignment horizontal="center" vertical="top" wrapText="1"/>
    </x:xf>
    <x:xf numFmtId="200" fontId="11" fillId="150" borderId="19" xfId="0" applyNumberFormat="1" applyFont="1" applyFill="1" applyBorder="1" applyAlignment="1">
      <x:alignment horizontal="center" vertical="top" wrapText="1"/>
    </x:xf>
    <x:xf numFmtId="204" fontId="0" fillId="0" borderId="0" xfId="0" applyNumberFormat="1" applyFont="1" applyFill="1" applyBorder="1"/>
    <x:xf numFmtId="0" fontId="1" fillId="153" borderId="0" xfId="0" applyNumberFormat="1" applyFont="1" applyFill="1" applyBorder="1" applyAlignment="1">
      <x:alignment horizontal="left" vertical="center"/>
    </x:xf>
    <x:xf numFmtId="0" fontId="14" fillId="150" borderId="11" xfId="0" applyNumberFormat="1" applyFont="1" applyFill="1" applyBorder="1" applyAlignment="1">
      <x:alignment vertical="center" wrapText="1"/>
    </x:xf>
    <x:xf numFmtId="202" fontId="13" fillId="150" borderId="11" xfId="0" applyNumberFormat="1" applyFont="1" applyFill="1" applyBorder="1" applyAlignment="1">
      <x:alignment vertical="center" wrapText="1"/>
    </x:xf>
    <x:xf numFmtId="0" fontId="13" fillId="150" borderId="11" xfId="0" applyNumberFormat="1" applyFont="1" applyFill="1" applyBorder="1" applyAlignment="1">
      <x:alignment vertical="center" wrapText="1"/>
    </x:xf>
    <x:xf numFmtId="0" fontId="15" fillId="154" borderId="0" xfId="0" applyNumberFormat="1" applyFont="1" applyFill="1" applyBorder="1" applyAlignment="1">
      <x:alignment vertical="center" wrapText="1"/>
    </x:xf>
    <x:xf numFmtId="0" fontId="16" fillId="150" borderId="11" xfId="0" applyNumberFormat="1" applyFont="1" applyFill="1" applyBorder="1" applyAlignment="1">
      <x:alignment horizontal="center" vertical="center"/>
    </x:xf>
    <x:xf numFmtId="0" fontId="16" fillId="151" borderId="11" xfId="0" applyNumberFormat="1" applyFont="1" applyFill="1" applyBorder="1" applyAlignment="1">
      <x:alignment horizontal="center" vertical="center"/>
    </x:xf>
    <x:xf numFmtId="203" fontId="16" fillId="151" borderId="11" xfId="0" applyNumberFormat="1" applyFont="1" applyFill="1" applyBorder="1" applyAlignment="1">
      <x:alignment horizontal="center" vertical="center"/>
    </x:xf>
    <x:xf numFmtId="0" fontId="17" fillId="155" borderId="12" xfId="0" applyNumberFormat="1" applyFont="1" applyFill="1" applyBorder="1" applyAlignment="1">
      <x:alignment vertical="center" wrapText="1"/>
    </x:xf>
    <x:xf numFmtId="0" fontId="18" fillId="156" borderId="13" xfId="0" applyNumberFormat="1" applyFont="1" applyFill="1" applyBorder="1" applyAlignment="1">
      <x:alignment horizontal="center" vertical="center" wrapText="1"/>
    </x:xf>
    <x:xf numFmtId="0" fontId="11" fillId="157" borderId="14" xfId="0" applyNumberFormat="1" applyFont="1" applyFill="1" applyBorder="1" applyAlignment="1">
      <x:alignment vertical="top" wrapText="1"/>
    </x:xf>
    <x:xf numFmtId="204" fontId="11" fillId="157" borderId="14" xfId="0" applyNumberFormat="1" applyFont="1" applyFill="1" applyBorder="1" applyAlignment="1">
      <x:alignment vertical="top" wrapText="1"/>
    </x:xf>
    <x:xf numFmtId="0" fontId="11" fillId="157" borderId="14" xfId="0" applyNumberFormat="1" applyFont="1" applyFill="1" applyBorder="1" applyAlignment="1">
      <x:alignment horizontal="center" vertical="top" wrapText="1"/>
    </x:xf>
    <x:xf numFmtId="0" fontId="11" fillId="151" borderId="14" xfId="0" applyNumberFormat="1" applyFont="1" applyFill="1" applyBorder="1" applyAlignment="1">
      <x:alignment vertical="top" wrapText="1"/>
    </x:xf>
    <x:xf numFmtId="204" fontId="11" fillId="151" borderId="14" xfId="0" applyNumberFormat="1" applyFont="1" applyFill="1" applyBorder="1" applyAlignment="1">
      <x:alignment vertical="top" wrapText="1"/>
    </x:xf>
    <x:xf numFmtId="0" fontId="11" fillId="151" borderId="14" xfId="0" applyNumberFormat="1" applyFont="1" applyFill="1" applyBorder="1" applyAlignment="1">
      <x:alignment horizontal="center" vertical="top" wrapText="1"/>
    </x:xf>
    <x:xf numFmtId="204" fontId="11" fillId="151" borderId="0" xfId="0" applyNumberFormat="1" applyFont="1" applyFill="1" applyBorder="1" applyAlignment="1">
      <x:alignment vertical="top" wrapText="1"/>
    </x:xf>
    <x:xf numFmtId="0" fontId="0" fillId="157" borderId="0" xfId="0" applyNumberFormat="1" applyFont="1" applyFill="1" applyBorder="1"/>
    <x:xf numFmtId="204" fontId="0" fillId="157" borderId="0" xfId="0" applyNumberFormat="1" applyFont="1" applyFill="1" applyBorder="1"/>
    <x:xf numFmtId="0" fontId="0" fillId="151" borderId="0" xfId="0" applyNumberFormat="1" applyFont="1" applyFill="1" applyBorder="1"/>
    <x:xf numFmtId="204" fontId="0" fillId="151" borderId="0" xfId="0" applyNumberFormat="1" applyFont="1" applyFill="1" applyBorder="1"/>
    <x:xf numFmtId="0" fontId="0" fillId="157" borderId="0" xfId="0" applyNumberFormat="1" applyFont="1" applyFill="1" applyBorder="1" applyAlignment="1">
      <x:alignment wrapText="1"/>
    </x:xf>
    <x:xf numFmtId="204" fontId="0" fillId="157" borderId="0" xfId="0" applyNumberFormat="1" applyFont="1" applyFill="1" applyBorder="1" applyAlignment="1">
      <x:alignment wrapText="1"/>
    </x:xf>
    <x:xf numFmtId="0" fontId="0" fillId="151" borderId="0" xfId="0" applyNumberFormat="1" applyFont="1" applyFill="1" applyBorder="1" applyAlignment="1">
      <x:alignment wrapText="1"/>
    </x:xf>
    <x:xf numFmtId="204" fontId="0" fillId="151" borderId="0" xfId="0" applyNumberFormat="1" applyFont="1" applyFill="1" applyBorder="1" applyAlignment="1">
      <x:alignment wrapText="1"/>
    </x:xf>
    <x:xf numFmtId="0" fontId="0" fillId="157" borderId="0" xfId="0" applyNumberFormat="1" applyFont="1" applyFill="1" applyBorder="1" applyAlignment="1">
      <x:alignment vertical="top" wrapText="1"/>
    </x:xf>
    <x:xf numFmtId="204" fontId="0" fillId="157" borderId="0" xfId="0" applyNumberFormat="1" applyFont="1" applyFill="1" applyBorder="1" applyAlignment="1">
      <x:alignment vertical="top" wrapText="1"/>
    </x:xf>
    <x:xf numFmtId="0" fontId="0" fillId="151" borderId="0" xfId="0" applyNumberFormat="1" applyFont="1" applyFill="1" applyBorder="1" applyAlignment="1">
      <x:alignment vertical="top" wrapText="1"/>
    </x:xf>
    <x:xf numFmtId="204" fontId="0" fillId="151" borderId="0" xfId="0" applyNumberFormat="1" applyFont="1" applyFill="1" applyBorder="1" applyAlignment="1">
      <x:alignment vertical="top" wrapText="1"/>
    </x:xf>
    <x:xf numFmtId="0" fontId="11" fillId="157" borderId="0" xfId="0" applyNumberFormat="1" applyFont="1" applyFill="1" applyBorder="1" applyAlignment="1">
      <x:alignment vertical="top" wrapText="1"/>
    </x:xf>
    <x:xf numFmtId="204" fontId="11" fillId="157" borderId="0" xfId="0" applyNumberFormat="1" applyFont="1" applyFill="1" applyBorder="1" applyAlignment="1">
      <x:alignment vertical="top" wrapText="1"/>
    </x:xf>
    <x:xf numFmtId="0" fontId="11" fillId="157" borderId="0" xfId="0" applyNumberFormat="1" applyFont="1" applyFill="1" applyBorder="1" applyAlignment="1">
      <x:alignment horizontal="center" vertical="top" wrapText="1"/>
    </x:xf>
    <x:xf numFmtId="0" fontId="1" fillId="153" borderId="0" xfId="0" applyNumberFormat="1" applyFont="1" applyFill="1" applyBorder="1" applyAlignment="1">
      <x:alignment vertical="center"/>
    </x:xf>
    <x:xf numFmtId="0" fontId="13" fillId="150" borderId="0" xfId="0" applyNumberFormat="1" applyFont="1" applyFill="1" applyBorder="1" applyAlignment="1">
      <x:alignment vertical="center" wrapText="1"/>
    </x:xf>
    <x:xf numFmtId="0" fontId="3" fillId="149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vertical="top" wrapText="1"/>
    </x:xf>
    <x:xf numFmtId="204" fontId="11" fillId="0" borderId="0" xfId="0" applyNumberFormat="1" applyFont="1" applyFill="1" applyBorder="1" applyAlignment="1">
      <x:alignment vertical="top" wrapText="1"/>
    </x:xf>
    <x:xf numFmtId="204" fontId="11" fillId="157" borderId="0" xfId="0" applyNumberFormat="1" applyFont="1" applyFill="1" applyBorder="1" applyAlignment="1">
      <x:alignment horizontal="center" vertical="top" wrapText="1"/>
    </x:xf>
    <x:xf numFmtId="204" fontId="11" fillId="151" borderId="0" xfId="0" applyNumberFormat="1" applyFont="1" applyFill="1" applyBorder="1" applyAlignment="1">
      <x:alignment horizontal="center" vertical="top" wrapText="1"/>
    </x:xf>
    <x:xf numFmtId="204" fontId="11" fillId="0" borderId="0" xfId="0" applyNumberFormat="1" applyFont="1" applyFill="1" applyBorder="1" applyAlignment="1">
      <x:alignment horizontal="center" vertical="top" wrapText="1"/>
    </x:xf>
    <x:xf numFmtId="0" fontId="20" fillId="158" borderId="10" xfId="0" applyNumberFormat="1" applyFont="1" applyFill="1" applyBorder="1" applyAlignment="1">
      <x:alignment vertical="top" wrapText="1"/>
    </x:xf>
    <x:xf numFmtId="0" fontId="20" fillId="158" borderId="10" xfId="0" applyNumberFormat="1" applyFont="1" applyFill="1" applyBorder="1"/>
    <x:xf numFmtId="0" fontId="20" fillId="158" borderId="10" xfId="0" applyNumberFormat="1" applyFont="1" applyFill="1" applyBorder="1" applyAlignment="1">
      <x:alignment wrapText="1"/>
    </x:xf>
    <x:xf numFmtId="0" fontId="20" fillId="158" borderId="10" xfId="0" applyNumberFormat="1" applyFont="1" applyFill="1" applyBorder="1" applyAlignment="1">
      <x:alignment vertical="center" wrapText="1"/>
    </x:xf>
    <x:xf numFmtId="0" fontId="32" fillId="158" borderId="10" xfId="0" applyNumberFormat="1" applyFont="1" applyFill="1" applyBorder="1" applyAlignment="1">
      <x:alignment vertical="top" wrapText="1"/>
    </x:xf>
    <x:xf numFmtId="0" fontId="32" fillId="158" borderId="10" xfId="0" applyNumberFormat="1" applyFont="1" applyFill="1" applyBorder="1"/>
    <x:xf numFmtId="0" fontId="32" fillId="158" borderId="10" xfId="0" applyNumberFormat="1" applyFont="1" applyFill="1" applyBorder="1" applyAlignment="1">
      <x:alignment wrapText="1"/>
    </x:xf>
    <x:xf numFmtId="0" fontId="32" fillId="158" borderId="10" xfId="0" applyNumberFormat="1" applyFont="1" applyFill="1" applyBorder="1" applyAlignment="1">
      <x:alignment vertical="center" wrapText="1"/>
    </x:xf>
    <x:xf numFmtId="0" fontId="3" fillId="159" borderId="1" xfId="0" applyNumberFormat="1" applyFont="1" applyFill="1" applyBorder="1" applyAlignment="1">
      <x:alignment horizontal="center" vertical="center" wrapText="1"/>
    </x:xf>
    <x:xf numFmtId="0" fontId="10" fillId="160" borderId="15" xfId="0" applyNumberFormat="1" applyFont="1" applyFill="1" applyBorder="1" applyAlignment="1">
      <x:alignment horizontal="center" vertical="top" wrapText="1"/>
    </x:xf>
    <x:xf numFmtId="0" fontId="11" fillId="160" borderId="16" xfId="0" applyNumberFormat="1" applyFont="1" applyFill="1" applyBorder="1" applyAlignment="1">
      <x:alignment horizontal="center" vertical="top" wrapText="1"/>
    </x:xf>
    <x:xf numFmtId="201" fontId="11" fillId="160" borderId="16" xfId="0" applyNumberFormat="1" applyFont="1" applyFill="1" applyBorder="1" applyAlignment="1">
      <x:alignment horizontal="center" vertical="top" wrapText="1"/>
    </x:xf>
    <x:xf numFmtId="0" fontId="11" fillId="160" borderId="16" xfId="0" applyNumberFormat="1" applyFont="1" applyFill="1" applyBorder="1" applyAlignment="1">
      <x:alignment vertical="top" wrapText="1"/>
    </x:xf>
    <x:xf numFmtId="0" fontId="11" fillId="160" borderId="17" xfId="0" applyNumberFormat="1" applyFont="1" applyFill="1" applyBorder="1" applyAlignment="1">
      <x:alignment vertical="top" wrapText="1"/>
    </x:xf>
    <x:xf numFmtId="0" fontId="11" fillId="161" borderId="18" xfId="0" applyNumberFormat="1" applyFont="1" applyFill="1" applyBorder="1" applyAlignment="1">
      <x:alignment horizontal="center" vertical="top" wrapText="1"/>
    </x:xf>
    <x:xf numFmtId="0" fontId="11" fillId="161" borderId="19" xfId="0" applyNumberFormat="1" applyFont="1" applyFill="1" applyBorder="1" applyAlignment="1">
      <x:alignment horizontal="center" vertical="top" wrapText="1"/>
    </x:xf>
    <x:xf numFmtId="201" fontId="11" fillId="161" borderId="19" xfId="0" applyNumberFormat="1" applyFont="1" applyFill="1" applyBorder="1" applyAlignment="1">
      <x:alignment horizontal="center" vertical="top" wrapText="1"/>
    </x:xf>
    <x:xf numFmtId="0" fontId="11" fillId="161" borderId="19" xfId="0" applyNumberFormat="1" applyFont="1" applyFill="1" applyBorder="1" applyAlignment="1">
      <x:alignment vertical="top" wrapText="1"/>
    </x:xf>
    <x:xf numFmtId="0" fontId="11" fillId="161" borderId="20" xfId="0" applyNumberFormat="1" applyFont="1" applyFill="1" applyBorder="1" applyAlignment="1">
      <x:alignment vertical="top" wrapText="1"/>
    </x:xf>
    <x:xf numFmtId="0" fontId="10" fillId="160" borderId="18" xfId="0" applyNumberFormat="1" applyFont="1" applyFill="1" applyBorder="1" applyAlignment="1">
      <x:alignment horizontal="center" vertical="top" wrapText="1"/>
    </x:xf>
    <x:xf numFmtId="0" fontId="11" fillId="160" borderId="19" xfId="0" applyNumberFormat="1" applyFont="1" applyFill="1" applyBorder="1" applyAlignment="1">
      <x:alignment horizontal="center" vertical="top" wrapText="1"/>
    </x:xf>
    <x:xf numFmtId="201" fontId="11" fillId="160" borderId="19" xfId="0" applyNumberFormat="1" applyFont="1" applyFill="1" applyBorder="1" applyAlignment="1">
      <x:alignment horizontal="center" vertical="top" wrapText="1"/>
    </x:xf>
    <x:xf numFmtId="0" fontId="11" fillId="160" borderId="19" xfId="0" applyNumberFormat="1" applyFont="1" applyFill="1" applyBorder="1" applyAlignment="1">
      <x:alignment vertical="top" wrapText="1"/>
    </x:xf>
    <x:xf numFmtId="0" fontId="11" fillId="160" borderId="20" xfId="0" applyNumberFormat="1" applyFont="1" applyFill="1" applyBorder="1" applyAlignment="1">
      <x:alignment vertical="top" wrapText="1"/>
    </x:xf>
    <x:xf numFmtId="0" fontId="10" fillId="161" borderId="18" xfId="0" applyNumberFormat="1" applyFont="1" applyFill="1" applyBorder="1" applyAlignment="1">
      <x:alignment horizontal="center" vertical="top" wrapText="1"/>
    </x:xf>
    <x:xf numFmtId="0" fontId="11" fillId="160" borderId="18" xfId="0" applyNumberFormat="1" applyFont="1" applyFill="1" applyBorder="1" applyAlignment="1">
      <x:alignment horizontal="center" vertical="top" wrapText="1"/>
    </x:xf>
    <x:xf numFmtId="0" fontId="11" fillId="161" borderId="21" xfId="0" applyNumberFormat="1" applyFont="1" applyFill="1" applyBorder="1" applyAlignment="1">
      <x:alignment horizontal="center" vertical="top" wrapText="1"/>
    </x:xf>
    <x:xf numFmtId="0" fontId="11" fillId="161" borderId="22" xfId="0" applyNumberFormat="1" applyFont="1" applyFill="1" applyBorder="1" applyAlignment="1">
      <x:alignment horizontal="center" vertical="top" wrapText="1"/>
    </x:xf>
    <x:xf numFmtId="201" fontId="11" fillId="161" borderId="22" xfId="0" applyNumberFormat="1" applyFont="1" applyFill="1" applyBorder="1" applyAlignment="1">
      <x:alignment horizontal="center" vertical="top" wrapText="1"/>
    </x:xf>
    <x:xf numFmtId="0" fontId="11" fillId="161" borderId="22" xfId="0" applyNumberFormat="1" applyFont="1" applyFill="1" applyBorder="1" applyAlignment="1">
      <x:alignment vertical="top" wrapText="1"/>
    </x:xf>
    <x:xf numFmtId="0" fontId="11" fillId="161" borderId="23" xfId="0" applyNumberFormat="1" applyFont="1" applyFill="1" applyBorder="1" applyAlignment="1">
      <x:alignment vertical="top" wrapText="1"/>
    </x:xf>
    <x:xf numFmtId="0" fontId="11" fillId="160" borderId="0" xfId="0" applyNumberFormat="1" applyFont="1" applyFill="1" applyBorder="1" applyAlignment="1">
      <x:alignment horizontal="center" vertical="top" wrapText="1"/>
    </x:xf>
    <x:xf numFmtId="201" fontId="11" fillId="160" borderId="0" xfId="0" applyNumberFormat="1" applyFont="1" applyFill="1" applyBorder="1" applyAlignment="1">
      <x:alignment horizontal="center" vertical="top" wrapText="1"/>
    </x:xf>
    <x:xf numFmtId="0" fontId="11" fillId="160" borderId="0" xfId="0" applyNumberFormat="1" applyFont="1" applyFill="1" applyBorder="1" applyAlignment="1">
      <x:alignment vertical="top" wrapText="1"/>
    </x:xf>
    <x:xf numFmtId="0" fontId="11" fillId="161" borderId="0" xfId="0" applyNumberFormat="1" applyFont="1" applyFill="1" applyBorder="1" applyAlignment="1">
      <x:alignment horizontal="center" vertical="top" wrapText="1"/>
    </x:xf>
    <x:xf numFmtId="201" fontId="11" fillId="161" borderId="0" xfId="0" applyNumberFormat="1" applyFont="1" applyFill="1" applyBorder="1" applyAlignment="1">
      <x:alignment horizontal="center" vertical="top" wrapText="1"/>
    </x:xf>
    <x:xf numFmtId="0" fontId="11" fillId="161" borderId="0" xfId="0" applyNumberFormat="1" applyFont="1" applyFill="1" applyBorder="1" applyAlignment="1">
      <x:alignment vertical="top" wrapText="1"/>
    </x:xf>
    <x:xf numFmtId="0" fontId="11" fillId="160" borderId="15" xfId="0" applyNumberFormat="1" applyFont="1" applyFill="1" applyBorder="1" applyAlignment="1">
      <x:alignment horizontal="center" vertical="top" wrapText="1"/>
    </x:xf>
    <x:xf numFmtId="0" fontId="11" fillId="162" borderId="15" xfId="0" applyNumberFormat="1" applyFont="1" applyFill="1" applyBorder="1" applyAlignment="1">
      <x:alignment horizontal="center" vertical="top" wrapText="1"/>
    </x:xf>
    <x:xf numFmtId="0" fontId="11" fillId="162" borderId="16" xfId="0" applyNumberFormat="1" applyFont="1" applyFill="1" applyBorder="1" applyAlignment="1">
      <x:alignment horizontal="center" vertical="top" wrapText="1"/>
    </x:xf>
    <x:xf numFmtId="0" fontId="11" fillId="162" borderId="16" xfId="0" applyNumberFormat="1" applyFont="1" applyFill="1" applyBorder="1" applyAlignment="1">
      <x:alignment vertical="top" wrapText="1"/>
    </x:xf>
    <x:xf numFmtId="0" fontId="11" fillId="162" borderId="17" xfId="0" applyNumberFormat="1" applyFont="1" applyFill="1" applyBorder="1" applyAlignment="1">
      <x:alignment vertical="top" wrapText="1"/>
    </x:xf>
    <x:xf numFmtId="0" fontId="11" fillId="162" borderId="18" xfId="0" applyNumberFormat="1" applyFont="1" applyFill="1" applyBorder="1" applyAlignment="1">
      <x:alignment horizontal="center" vertical="top" wrapText="1"/>
    </x:xf>
    <x:xf numFmtId="0" fontId="11" fillId="162" borderId="19" xfId="0" applyNumberFormat="1" applyFont="1" applyFill="1" applyBorder="1" applyAlignment="1">
      <x:alignment horizontal="center" vertical="top" wrapText="1"/>
    </x:xf>
    <x:xf numFmtId="0" fontId="11" fillId="162" borderId="19" xfId="0" applyNumberFormat="1" applyFont="1" applyFill="1" applyBorder="1" applyAlignment="1">
      <x:alignment vertical="top" wrapText="1"/>
    </x:xf>
    <x:xf numFmtId="0" fontId="11" fillId="162" borderId="20" xfId="0" applyNumberFormat="1" applyFont="1" applyFill="1" applyBorder="1" applyAlignment="1">
      <x:alignment vertical="top" wrapText="1"/>
    </x:xf>
    <x:xf numFmtId="0" fontId="11" fillId="162" borderId="0" xfId="0" applyNumberFormat="1" applyFont="1" applyFill="1" applyBorder="1" applyAlignment="1">
      <x:alignment horizontal="center" vertical="top" wrapText="1"/>
    </x:xf>
    <x:xf numFmtId="0" fontId="11" fillId="162" borderId="0" xfId="0" applyNumberFormat="1" applyFont="1" applyFill="1" applyBorder="1" applyAlignment="1">
      <x:alignment vertical="top" wrapText="1"/>
    </x:xf>
    <x:xf numFmtId="200" fontId="11" fillId="160" borderId="16" xfId="0" applyNumberFormat="1" applyFont="1" applyFill="1" applyBorder="1" applyAlignment="1">
      <x:alignment horizontal="center" vertical="top" wrapText="1"/>
    </x:xf>
    <x:xf numFmtId="200" fontId="11" fillId="161" borderId="19" xfId="0" applyNumberFormat="1" applyFont="1" applyFill="1" applyBorder="1" applyAlignment="1">
      <x:alignment horizontal="center" vertical="top" wrapText="1"/>
    </x:xf>
    <x:xf numFmtId="200" fontId="11" fillId="160" borderId="19" xfId="0" applyNumberFormat="1" applyFont="1" applyFill="1" applyBorder="1" applyAlignment="1">
      <x:alignment horizontal="center" vertical="top" wrapText="1"/>
    </x:xf>
    <x:xf numFmtId="204" fontId="11" fillId="25" borderId="0" xfId="0" applyNumberFormat="1" applyFont="1" applyFill="1" applyBorder="1" applyAlignment="1">
      <x:alignment vertical="top" wrapText="1"/>
    </x:xf>
    <x:xf numFmtId="0" fontId="1" fillId="163" borderId="0" xfId="0" applyNumberFormat="1" applyFont="1" applyFill="1" applyBorder="1" applyAlignment="1">
      <x:alignment horizontal="left" vertical="center"/>
    </x:xf>
    <x:xf numFmtId="0" fontId="14" fillId="160" borderId="11" xfId="0" applyNumberFormat="1" applyFont="1" applyFill="1" applyBorder="1" applyAlignment="1">
      <x:alignment vertical="center" wrapText="1"/>
    </x:xf>
    <x:xf numFmtId="202" fontId="13" fillId="160" borderId="11" xfId="0" applyNumberFormat="1" applyFont="1" applyFill="1" applyBorder="1" applyAlignment="1">
      <x:alignment vertical="center" wrapText="1"/>
    </x:xf>
    <x:xf numFmtId="0" fontId="13" fillId="160" borderId="11" xfId="0" applyNumberFormat="1" applyFont="1" applyFill="1" applyBorder="1" applyAlignment="1">
      <x:alignment vertical="center" wrapText="1"/>
    </x:xf>
    <x:xf numFmtId="0" fontId="15" fillId="164" borderId="0" xfId="0" applyNumberFormat="1" applyFont="1" applyFill="1" applyBorder="1" applyAlignment="1">
      <x:alignment vertical="center" wrapText="1"/>
    </x:xf>
    <x:xf numFmtId="0" fontId="16" fillId="160" borderId="11" xfId="0" applyNumberFormat="1" applyFont="1" applyFill="1" applyBorder="1" applyAlignment="1">
      <x:alignment horizontal="center" vertical="center"/>
    </x:xf>
    <x:xf numFmtId="0" fontId="16" fillId="161" borderId="11" xfId="0" applyNumberFormat="1" applyFont="1" applyFill="1" applyBorder="1" applyAlignment="1">
      <x:alignment horizontal="center" vertical="center"/>
    </x:xf>
    <x:xf numFmtId="203" fontId="16" fillId="161" borderId="11" xfId="0" applyNumberFormat="1" applyFont="1" applyFill="1" applyBorder="1" applyAlignment="1">
      <x:alignment horizontal="center" vertical="center"/>
    </x:xf>
    <x:xf numFmtId="0" fontId="17" fillId="165" borderId="12" xfId="0" applyNumberFormat="1" applyFont="1" applyFill="1" applyBorder="1" applyAlignment="1">
      <x:alignment vertical="center" wrapText="1"/>
    </x:xf>
    <x:xf numFmtId="0" fontId="18" fillId="166" borderId="13" xfId="0" applyNumberFormat="1" applyFont="1" applyFill="1" applyBorder="1" applyAlignment="1">
      <x:alignment horizontal="center" vertical="center" wrapText="1"/>
    </x:xf>
    <x:xf numFmtId="0" fontId="11" fillId="167" borderId="14" xfId="0" applyNumberFormat="1" applyFont="1" applyFill="1" applyBorder="1" applyAlignment="1">
      <x:alignment vertical="top" wrapText="1"/>
    </x:xf>
    <x:xf numFmtId="204" fontId="11" fillId="167" borderId="14" xfId="0" applyNumberFormat="1" applyFont="1" applyFill="1" applyBorder="1" applyAlignment="1">
      <x:alignment vertical="top" wrapText="1"/>
    </x:xf>
    <x:xf numFmtId="0" fontId="11" fillId="167" borderId="14" xfId="0" applyNumberFormat="1" applyFont="1" applyFill="1" applyBorder="1" applyAlignment="1">
      <x:alignment horizontal="center" vertical="top" wrapText="1"/>
    </x:xf>
    <x:xf numFmtId="0" fontId="11" fillId="161" borderId="14" xfId="0" applyNumberFormat="1" applyFont="1" applyFill="1" applyBorder="1" applyAlignment="1">
      <x:alignment vertical="top" wrapText="1"/>
    </x:xf>
    <x:xf numFmtId="204" fontId="11" fillId="161" borderId="14" xfId="0" applyNumberFormat="1" applyFont="1" applyFill="1" applyBorder="1" applyAlignment="1">
      <x:alignment vertical="top" wrapText="1"/>
    </x:xf>
    <x:xf numFmtId="0" fontId="11" fillId="161" borderId="14" xfId="0" applyNumberFormat="1" applyFont="1" applyFill="1" applyBorder="1" applyAlignment="1">
      <x:alignment horizontal="center" vertical="top" wrapText="1"/>
    </x:xf>
    <x:xf numFmtId="204" fontId="11" fillId="161" borderId="0" xfId="0" applyNumberFormat="1" applyFont="1" applyFill="1" applyBorder="1" applyAlignment="1">
      <x:alignment vertical="top" wrapText="1"/>
    </x:xf>
    <x:xf numFmtId="0" fontId="11" fillId="167" borderId="0" xfId="0" applyNumberFormat="1" applyFont="1" applyFill="1" applyBorder="1" applyAlignment="1">
      <x:alignment vertical="top" wrapText="1"/>
    </x:xf>
    <x:xf numFmtId="204" fontId="11" fillId="167" borderId="0" xfId="0" applyNumberFormat="1" applyFont="1" applyFill="1" applyBorder="1" applyAlignment="1">
      <x:alignment vertical="top" wrapText="1"/>
    </x:xf>
    <x:xf numFmtId="0" fontId="11" fillId="167" borderId="0" xfId="0" applyNumberFormat="1" applyFont="1" applyFill="1" applyBorder="1" applyAlignment="1">
      <x:alignment horizontal="center" vertical="top" wrapText="1"/>
    </x:xf>
    <x:xf numFmtId="0" fontId="0" fillId="167" borderId="0" xfId="0" applyNumberFormat="1" applyFont="1" applyFill="1" applyBorder="1"/>
    <x:xf numFmtId="204" fontId="0" fillId="167" borderId="0" xfId="0" applyNumberFormat="1" applyFont="1" applyFill="1" applyBorder="1"/>
    <x:xf numFmtId="0" fontId="0" fillId="161" borderId="0" xfId="0" applyNumberFormat="1" applyFont="1" applyFill="1" applyBorder="1"/>
    <x:xf numFmtId="204" fontId="0" fillId="161" borderId="0" xfId="0" applyNumberFormat="1" applyFont="1" applyFill="1" applyBorder="1"/>
    <x:xf numFmtId="0" fontId="0" fillId="167" borderId="0" xfId="0" applyNumberFormat="1" applyFont="1" applyFill="1" applyBorder="1" applyAlignment="1">
      <x:alignment wrapText="1"/>
    </x:xf>
    <x:xf numFmtId="204" fontId="0" fillId="167" borderId="0" xfId="0" applyNumberFormat="1" applyFont="1" applyFill="1" applyBorder="1" applyAlignment="1">
      <x:alignment wrapText="1"/>
    </x:xf>
    <x:xf numFmtId="0" fontId="0" fillId="161" borderId="0" xfId="0" applyNumberFormat="1" applyFont="1" applyFill="1" applyBorder="1" applyAlignment="1">
      <x:alignment wrapText="1"/>
    </x:xf>
    <x:xf numFmtId="204" fontId="0" fillId="161" borderId="0" xfId="0" applyNumberFormat="1" applyFont="1" applyFill="1" applyBorder="1" applyAlignment="1">
      <x:alignment wrapText="1"/>
    </x:xf>
    <x:xf numFmtId="0" fontId="0" fillId="167" borderId="0" xfId="0" applyNumberFormat="1" applyFont="1" applyFill="1" applyBorder="1" applyAlignment="1">
      <x:alignment vertical="top" wrapText="1"/>
    </x:xf>
    <x:xf numFmtId="204" fontId="0" fillId="167" borderId="0" xfId="0" applyNumberFormat="1" applyFont="1" applyFill="1" applyBorder="1" applyAlignment="1">
      <x:alignment vertical="top" wrapText="1"/>
    </x:xf>
    <x:xf numFmtId="0" fontId="0" fillId="161" borderId="0" xfId="0" applyNumberFormat="1" applyFont="1" applyFill="1" applyBorder="1" applyAlignment="1">
      <x:alignment vertical="top" wrapText="1"/>
    </x:xf>
    <x:xf numFmtId="204" fontId="0" fillId="161" borderId="0" xfId="0" applyNumberFormat="1" applyFont="1" applyFill="1" applyBorder="1" applyAlignment="1">
      <x:alignment vertical="top" wrapText="1"/>
    </x:xf>
    <x:xf numFmtId="0" fontId="1" fillId="163" borderId="0" xfId="0" applyNumberFormat="1" applyFont="1" applyFill="1" applyBorder="1" applyAlignment="1">
      <x:alignment vertical="center"/>
    </x:xf>
    <x:xf numFmtId="0" fontId="13" fillId="160" borderId="0" xfId="0" applyNumberFormat="1" applyFont="1" applyFill="1" applyBorder="1" applyAlignment="1">
      <x:alignment vertical="center" wrapText="1"/>
    </x:xf>
    <x:xf numFmtId="0" fontId="3" fillId="159" borderId="0" xfId="0" applyNumberFormat="1" applyFont="1" applyFill="1" applyBorder="1" applyAlignment="1">
      <x:alignment horizontal="center" vertical="center" wrapText="1"/>
    </x:xf>
    <x:xf numFmtId="204" fontId="11" fillId="167" borderId="0" xfId="0" applyNumberFormat="1" applyFont="1" applyFill="1" applyBorder="1" applyAlignment="1">
      <x:alignment horizontal="center" vertical="top" wrapText="1"/>
    </x:xf>
    <x:xf numFmtId="204" fontId="11" fillId="161" borderId="0" xfId="0" applyNumberFormat="1" applyFont="1" applyFill="1" applyBorder="1" applyAlignment="1">
      <x:alignment horizontal="center" vertical="top" wrapText="1"/>
    </x:xf>
    <x:xf numFmtId="0" fontId="20" fillId="168" borderId="10" xfId="0" applyNumberFormat="1" applyFont="1" applyFill="1" applyBorder="1" applyAlignment="1">
      <x:alignment vertical="top" wrapText="1"/>
    </x:xf>
    <x:xf numFmtId="0" fontId="20" fillId="168" borderId="10" xfId="0" applyNumberFormat="1" applyFont="1" applyFill="1" applyBorder="1"/>
    <x:xf numFmtId="0" fontId="20" fillId="168" borderId="10" xfId="0" applyNumberFormat="1" applyFont="1" applyFill="1" applyBorder="1" applyAlignment="1">
      <x:alignment wrapText="1"/>
    </x:xf>
    <x:xf numFmtId="0" fontId="20" fillId="168" borderId="10" xfId="0" applyNumberFormat="1" applyFont="1" applyFill="1" applyBorder="1" applyAlignment="1">
      <x:alignment vertical="center" wrapText="1"/>
    </x:xf>
    <x:xf numFmtId="0" fontId="33" fillId="168" borderId="10" xfId="0" applyNumberFormat="1" applyFont="1" applyFill="1" applyBorder="1" applyAlignment="1">
      <x:alignment vertical="top" wrapText="1"/>
    </x:xf>
    <x:xf numFmtId="0" fontId="33" fillId="168" borderId="10" xfId="0" applyNumberFormat="1" applyFont="1" applyFill="1" applyBorder="1"/>
    <x:xf numFmtId="0" fontId="33" fillId="168" borderId="10" xfId="0" applyNumberFormat="1" applyFont="1" applyFill="1" applyBorder="1" applyAlignment="1">
      <x:alignment wrapText="1"/>
    </x:xf>
    <x:xf numFmtId="0" fontId="33" fillId="168" borderId="10" xfId="0" applyNumberFormat="1" applyFont="1" applyFill="1" applyBorder="1" applyAlignment="1">
      <x:alignment vertical="center" wrapText="1"/>
    </x:xf>
    <x:xf numFmtId="0" fontId="3" fillId="169" borderId="1" xfId="0" applyNumberFormat="1" applyFont="1" applyFill="1" applyBorder="1" applyAlignment="1">
      <x:alignment horizontal="center" vertical="center" wrapText="1"/>
    </x:xf>
    <x:xf numFmtId="0" fontId="10" fillId="170" borderId="15" xfId="0" applyNumberFormat="1" applyFont="1" applyFill="1" applyBorder="1" applyAlignment="1">
      <x:alignment horizontal="center" vertical="top" wrapText="1"/>
    </x:xf>
    <x:xf numFmtId="0" fontId="11" fillId="170" borderId="16" xfId="0" applyNumberFormat="1" applyFont="1" applyFill="1" applyBorder="1" applyAlignment="1">
      <x:alignment horizontal="center" vertical="top" wrapText="1"/>
    </x:xf>
    <x:xf numFmtId="201" fontId="11" fillId="170" borderId="16" xfId="0" applyNumberFormat="1" applyFont="1" applyFill="1" applyBorder="1" applyAlignment="1">
      <x:alignment horizontal="center" vertical="top" wrapText="1"/>
    </x:xf>
    <x:xf numFmtId="0" fontId="11" fillId="170" borderId="16" xfId="0" applyNumberFormat="1" applyFont="1" applyFill="1" applyBorder="1" applyAlignment="1">
      <x:alignment vertical="top" wrapText="1"/>
    </x:xf>
    <x:xf numFmtId="0" fontId="11" fillId="170" borderId="17" xfId="0" applyNumberFormat="1" applyFont="1" applyFill="1" applyBorder="1" applyAlignment="1">
      <x:alignment vertical="top" wrapText="1"/>
    </x:xf>
    <x:xf numFmtId="0" fontId="11" fillId="171" borderId="18" xfId="0" applyNumberFormat="1" applyFont="1" applyFill="1" applyBorder="1" applyAlignment="1">
      <x:alignment horizontal="center" vertical="top" wrapText="1"/>
    </x:xf>
    <x:xf numFmtId="0" fontId="11" fillId="171" borderId="19" xfId="0" applyNumberFormat="1" applyFont="1" applyFill="1" applyBorder="1" applyAlignment="1">
      <x:alignment horizontal="center" vertical="top" wrapText="1"/>
    </x:xf>
    <x:xf numFmtId="201" fontId="11" fillId="171" borderId="19" xfId="0" applyNumberFormat="1" applyFont="1" applyFill="1" applyBorder="1" applyAlignment="1">
      <x:alignment horizontal="center" vertical="top" wrapText="1"/>
    </x:xf>
    <x:xf numFmtId="0" fontId="11" fillId="171" borderId="19" xfId="0" applyNumberFormat="1" applyFont="1" applyFill="1" applyBorder="1" applyAlignment="1">
      <x:alignment vertical="top" wrapText="1"/>
    </x:xf>
    <x:xf numFmtId="0" fontId="11" fillId="171" borderId="20" xfId="0" applyNumberFormat="1" applyFont="1" applyFill="1" applyBorder="1" applyAlignment="1">
      <x:alignment vertical="top" wrapText="1"/>
    </x:xf>
    <x:xf numFmtId="0" fontId="10" fillId="170" borderId="18" xfId="0" applyNumberFormat="1" applyFont="1" applyFill="1" applyBorder="1" applyAlignment="1">
      <x:alignment horizontal="center" vertical="top" wrapText="1"/>
    </x:xf>
    <x:xf numFmtId="0" fontId="11" fillId="170" borderId="19" xfId="0" applyNumberFormat="1" applyFont="1" applyFill="1" applyBorder="1" applyAlignment="1">
      <x:alignment horizontal="center" vertical="top" wrapText="1"/>
    </x:xf>
    <x:xf numFmtId="201" fontId="11" fillId="170" borderId="19" xfId="0" applyNumberFormat="1" applyFont="1" applyFill="1" applyBorder="1" applyAlignment="1">
      <x:alignment horizontal="center" vertical="top" wrapText="1"/>
    </x:xf>
    <x:xf numFmtId="0" fontId="11" fillId="170" borderId="19" xfId="0" applyNumberFormat="1" applyFont="1" applyFill="1" applyBorder="1" applyAlignment="1">
      <x:alignment vertical="top" wrapText="1"/>
    </x:xf>
    <x:xf numFmtId="0" fontId="11" fillId="170" borderId="20" xfId="0" applyNumberFormat="1" applyFont="1" applyFill="1" applyBorder="1" applyAlignment="1">
      <x:alignment vertical="top" wrapText="1"/>
    </x:xf>
    <x:xf numFmtId="0" fontId="10" fillId="171" borderId="18" xfId="0" applyNumberFormat="1" applyFont="1" applyFill="1" applyBorder="1" applyAlignment="1">
      <x:alignment horizontal="center" vertical="top" wrapText="1"/>
    </x:xf>
    <x:xf numFmtId="0" fontId="11" fillId="170" borderId="18" xfId="0" applyNumberFormat="1" applyFont="1" applyFill="1" applyBorder="1" applyAlignment="1">
      <x:alignment horizontal="center" vertical="top" wrapText="1"/>
    </x:xf>
    <x:xf numFmtId="0" fontId="11" fillId="171" borderId="21" xfId="0" applyNumberFormat="1" applyFont="1" applyFill="1" applyBorder="1" applyAlignment="1">
      <x:alignment horizontal="center" vertical="top" wrapText="1"/>
    </x:xf>
    <x:xf numFmtId="0" fontId="11" fillId="171" borderId="22" xfId="0" applyNumberFormat="1" applyFont="1" applyFill="1" applyBorder="1" applyAlignment="1">
      <x:alignment horizontal="center" vertical="top" wrapText="1"/>
    </x:xf>
    <x:xf numFmtId="201" fontId="11" fillId="171" borderId="22" xfId="0" applyNumberFormat="1" applyFont="1" applyFill="1" applyBorder="1" applyAlignment="1">
      <x:alignment horizontal="center" vertical="top" wrapText="1"/>
    </x:xf>
    <x:xf numFmtId="0" fontId="11" fillId="171" borderId="22" xfId="0" applyNumberFormat="1" applyFont="1" applyFill="1" applyBorder="1" applyAlignment="1">
      <x:alignment vertical="top" wrapText="1"/>
    </x:xf>
    <x:xf numFmtId="0" fontId="11" fillId="171" borderId="23" xfId="0" applyNumberFormat="1" applyFont="1" applyFill="1" applyBorder="1" applyAlignment="1">
      <x:alignment vertical="top" wrapText="1"/>
    </x:xf>
    <x:xf numFmtId="0" fontId="11" fillId="170" borderId="0" xfId="0" applyNumberFormat="1" applyFont="1" applyFill="1" applyBorder="1" applyAlignment="1">
      <x:alignment horizontal="center" vertical="top" wrapText="1"/>
    </x:xf>
    <x:xf numFmtId="201" fontId="11" fillId="170" borderId="0" xfId="0" applyNumberFormat="1" applyFont="1" applyFill="1" applyBorder="1" applyAlignment="1">
      <x:alignment horizontal="center" vertical="top" wrapText="1"/>
    </x:xf>
    <x:xf numFmtId="0" fontId="11" fillId="170" borderId="0" xfId="0" applyNumberFormat="1" applyFont="1" applyFill="1" applyBorder="1" applyAlignment="1">
      <x:alignment vertical="top" wrapText="1"/>
    </x:xf>
    <x:xf numFmtId="0" fontId="11" fillId="171" borderId="0" xfId="0" applyNumberFormat="1" applyFont="1" applyFill="1" applyBorder="1" applyAlignment="1">
      <x:alignment horizontal="center" vertical="top" wrapText="1"/>
    </x:xf>
    <x:xf numFmtId="201" fontId="11" fillId="171" borderId="0" xfId="0" applyNumberFormat="1" applyFont="1" applyFill="1" applyBorder="1" applyAlignment="1">
      <x:alignment horizontal="center" vertical="top" wrapText="1"/>
    </x:xf>
    <x:xf numFmtId="0" fontId="11" fillId="171" borderId="0" xfId="0" applyNumberFormat="1" applyFont="1" applyFill="1" applyBorder="1" applyAlignment="1">
      <x:alignment vertical="top" wrapText="1"/>
    </x:xf>
    <x:xf numFmtId="0" fontId="11" fillId="170" borderId="15" xfId="0" applyNumberFormat="1" applyFont="1" applyFill="1" applyBorder="1" applyAlignment="1">
      <x:alignment horizontal="center" vertical="top" wrapText="1"/>
    </x:xf>
    <x:xf numFmtId="0" fontId="11" fillId="172" borderId="15" xfId="0" applyNumberFormat="1" applyFont="1" applyFill="1" applyBorder="1" applyAlignment="1">
      <x:alignment horizontal="center" vertical="top" wrapText="1"/>
    </x:xf>
    <x:xf numFmtId="0" fontId="11" fillId="172" borderId="16" xfId="0" applyNumberFormat="1" applyFont="1" applyFill="1" applyBorder="1" applyAlignment="1">
      <x:alignment horizontal="center" vertical="top" wrapText="1"/>
    </x:xf>
    <x:xf numFmtId="0" fontId="11" fillId="172" borderId="16" xfId="0" applyNumberFormat="1" applyFont="1" applyFill="1" applyBorder="1" applyAlignment="1">
      <x:alignment vertical="top" wrapText="1"/>
    </x:xf>
    <x:xf numFmtId="0" fontId="11" fillId="172" borderId="17" xfId="0" applyNumberFormat="1" applyFont="1" applyFill="1" applyBorder="1" applyAlignment="1">
      <x:alignment vertical="top" wrapText="1"/>
    </x:xf>
    <x:xf numFmtId="0" fontId="11" fillId="172" borderId="18" xfId="0" applyNumberFormat="1" applyFont="1" applyFill="1" applyBorder="1" applyAlignment="1">
      <x:alignment horizontal="center" vertical="top" wrapText="1"/>
    </x:xf>
    <x:xf numFmtId="0" fontId="11" fillId="172" borderId="19" xfId="0" applyNumberFormat="1" applyFont="1" applyFill="1" applyBorder="1" applyAlignment="1">
      <x:alignment horizontal="center" vertical="top" wrapText="1"/>
    </x:xf>
    <x:xf numFmtId="0" fontId="11" fillId="172" borderId="19" xfId="0" applyNumberFormat="1" applyFont="1" applyFill="1" applyBorder="1" applyAlignment="1">
      <x:alignment vertical="top" wrapText="1"/>
    </x:xf>
    <x:xf numFmtId="0" fontId="11" fillId="172" borderId="20" xfId="0" applyNumberFormat="1" applyFont="1" applyFill="1" applyBorder="1" applyAlignment="1">
      <x:alignment vertical="top" wrapText="1"/>
    </x:xf>
    <x:xf numFmtId="0" fontId="11" fillId="172" borderId="0" xfId="0" applyNumberFormat="1" applyFont="1" applyFill="1" applyBorder="1" applyAlignment="1">
      <x:alignment horizontal="center" vertical="top" wrapText="1"/>
    </x:xf>
    <x:xf numFmtId="0" fontId="11" fillId="172" borderId="0" xfId="0" applyNumberFormat="1" applyFont="1" applyFill="1" applyBorder="1" applyAlignment="1">
      <x:alignment vertical="top" wrapText="1"/>
    </x:xf>
    <x:xf numFmtId="200" fontId="11" fillId="170" borderId="16" xfId="0" applyNumberFormat="1" applyFont="1" applyFill="1" applyBorder="1" applyAlignment="1">
      <x:alignment horizontal="center" vertical="top" wrapText="1"/>
    </x:xf>
    <x:xf numFmtId="200" fontId="11" fillId="171" borderId="19" xfId="0" applyNumberFormat="1" applyFont="1" applyFill="1" applyBorder="1" applyAlignment="1">
      <x:alignment horizontal="center" vertical="top" wrapText="1"/>
    </x:xf>
    <x:xf numFmtId="200" fontId="11" fillId="170" borderId="19" xfId="0" applyNumberFormat="1" applyFont="1" applyFill="1" applyBorder="1" applyAlignment="1">
      <x:alignment horizontal="center" vertical="top" wrapText="1"/>
    </x:xf>
    <x:xf numFmtId="0" fontId="1" fillId="173" borderId="0" xfId="0" applyNumberFormat="1" applyFont="1" applyFill="1" applyBorder="1" applyAlignment="1">
      <x:alignment horizontal="left" vertical="center"/>
    </x:xf>
    <x:xf numFmtId="0" fontId="14" fillId="170" borderId="11" xfId="0" applyNumberFormat="1" applyFont="1" applyFill="1" applyBorder="1" applyAlignment="1">
      <x:alignment vertical="center" wrapText="1"/>
    </x:xf>
    <x:xf numFmtId="202" fontId="13" fillId="170" borderId="11" xfId="0" applyNumberFormat="1" applyFont="1" applyFill="1" applyBorder="1" applyAlignment="1">
      <x:alignment vertical="center" wrapText="1"/>
    </x:xf>
    <x:xf numFmtId="0" fontId="13" fillId="170" borderId="11" xfId="0" applyNumberFormat="1" applyFont="1" applyFill="1" applyBorder="1" applyAlignment="1">
      <x:alignment vertical="center" wrapText="1"/>
    </x:xf>
    <x:xf numFmtId="0" fontId="15" fillId="174" borderId="0" xfId="0" applyNumberFormat="1" applyFont="1" applyFill="1" applyBorder="1" applyAlignment="1">
      <x:alignment vertical="center" wrapText="1"/>
    </x:xf>
    <x:xf numFmtId="0" fontId="16" fillId="170" borderId="11" xfId="0" applyNumberFormat="1" applyFont="1" applyFill="1" applyBorder="1" applyAlignment="1">
      <x:alignment horizontal="center" vertical="center"/>
    </x:xf>
    <x:xf numFmtId="0" fontId="16" fillId="171" borderId="11" xfId="0" applyNumberFormat="1" applyFont="1" applyFill="1" applyBorder="1" applyAlignment="1">
      <x:alignment horizontal="center" vertical="center"/>
    </x:xf>
    <x:xf numFmtId="203" fontId="16" fillId="171" borderId="11" xfId="0" applyNumberFormat="1" applyFont="1" applyFill="1" applyBorder="1" applyAlignment="1">
      <x:alignment horizontal="center" vertical="center"/>
    </x:xf>
    <x:xf numFmtId="0" fontId="17" fillId="175" borderId="12" xfId="0" applyNumberFormat="1" applyFont="1" applyFill="1" applyBorder="1" applyAlignment="1">
      <x:alignment vertical="center" wrapText="1"/>
    </x:xf>
    <x:xf numFmtId="0" fontId="18" fillId="176" borderId="13" xfId="0" applyNumberFormat="1" applyFont="1" applyFill="1" applyBorder="1" applyAlignment="1">
      <x:alignment horizontal="center" vertical="center" wrapText="1"/>
    </x:xf>
    <x:xf numFmtId="0" fontId="11" fillId="177" borderId="14" xfId="0" applyNumberFormat="1" applyFont="1" applyFill="1" applyBorder="1" applyAlignment="1">
      <x:alignment vertical="top" wrapText="1"/>
    </x:xf>
    <x:xf numFmtId="204" fontId="11" fillId="177" borderId="14" xfId="0" applyNumberFormat="1" applyFont="1" applyFill="1" applyBorder="1" applyAlignment="1">
      <x:alignment vertical="top" wrapText="1"/>
    </x:xf>
    <x:xf numFmtId="0" fontId="11" fillId="177" borderId="14" xfId="0" applyNumberFormat="1" applyFont="1" applyFill="1" applyBorder="1" applyAlignment="1">
      <x:alignment horizontal="center" vertical="top" wrapText="1"/>
    </x:xf>
    <x:xf numFmtId="0" fontId="11" fillId="171" borderId="14" xfId="0" applyNumberFormat="1" applyFont="1" applyFill="1" applyBorder="1" applyAlignment="1">
      <x:alignment vertical="top" wrapText="1"/>
    </x:xf>
    <x:xf numFmtId="204" fontId="11" fillId="171" borderId="14" xfId="0" applyNumberFormat="1" applyFont="1" applyFill="1" applyBorder="1" applyAlignment="1">
      <x:alignment vertical="top" wrapText="1"/>
    </x:xf>
    <x:xf numFmtId="0" fontId="11" fillId="171" borderId="14" xfId="0" applyNumberFormat="1" applyFont="1" applyFill="1" applyBorder="1" applyAlignment="1">
      <x:alignment horizontal="center" vertical="top" wrapText="1"/>
    </x:xf>
    <x:xf numFmtId="204" fontId="11" fillId="171" borderId="0" xfId="0" applyNumberFormat="1" applyFont="1" applyFill="1" applyBorder="1" applyAlignment="1">
      <x:alignment vertical="top" wrapText="1"/>
    </x:xf>
    <x:xf numFmtId="0" fontId="11" fillId="177" borderId="0" xfId="0" applyNumberFormat="1" applyFont="1" applyFill="1" applyBorder="1" applyAlignment="1">
      <x:alignment vertical="top" wrapText="1"/>
    </x:xf>
    <x:xf numFmtId="204" fontId="11" fillId="177" borderId="0" xfId="0" applyNumberFormat="1" applyFont="1" applyFill="1" applyBorder="1" applyAlignment="1">
      <x:alignment vertical="top" wrapText="1"/>
    </x:xf>
    <x:xf numFmtId="0" fontId="11" fillId="177" borderId="0" xfId="0" applyNumberFormat="1" applyFont="1" applyFill="1" applyBorder="1" applyAlignment="1">
      <x:alignment horizontal="center" vertical="top" wrapText="1"/>
    </x:xf>
    <x:xf numFmtId="0" fontId="1" fillId="173" borderId="0" xfId="0" applyNumberFormat="1" applyFont="1" applyFill="1" applyBorder="1" applyAlignment="1">
      <x:alignment vertical="center"/>
    </x:xf>
    <x:xf numFmtId="0" fontId="13" fillId="170" borderId="0" xfId="0" applyNumberFormat="1" applyFont="1" applyFill="1" applyBorder="1" applyAlignment="1">
      <x:alignment vertical="center" wrapText="1"/>
    </x:xf>
    <x:xf numFmtId="0" fontId="3" fillId="169" borderId="0" xfId="0" applyNumberFormat="1" applyFont="1" applyFill="1" applyBorder="1" applyAlignment="1">
      <x:alignment horizontal="center" vertical="center" wrapText="1"/>
    </x:xf>
    <x:xf numFmtId="204" fontId="11" fillId="177" borderId="0" xfId="0" applyNumberFormat="1" applyFont="1" applyFill="1" applyBorder="1" applyAlignment="1">
      <x:alignment horizontal="center" vertical="top" wrapText="1"/>
    </x:xf>
    <x:xf numFmtId="204" fontId="11" fillId="171" borderId="0" xfId="0" applyNumberFormat="1" applyFont="1" applyFill="1" applyBorder="1" applyAlignment="1">
      <x:alignment horizontal="center" vertical="top" wrapText="1"/>
    </x:xf>
    <x:xf numFmtId="0" fontId="20" fillId="178" borderId="10" xfId="0" applyNumberFormat="1" applyFont="1" applyFill="1" applyBorder="1" applyAlignment="1">
      <x:alignment vertical="top" wrapText="1"/>
    </x:xf>
    <x:xf numFmtId="0" fontId="20" fillId="178" borderId="10" xfId="0" applyNumberFormat="1" applyFont="1" applyFill="1" applyBorder="1"/>
    <x:xf numFmtId="0" fontId="20" fillId="178" borderId="10" xfId="0" applyNumberFormat="1" applyFont="1" applyFill="1" applyBorder="1" applyAlignment="1">
      <x:alignment wrapText="1"/>
    </x:xf>
    <x:xf numFmtId="0" fontId="20" fillId="178" borderId="10" xfId="0" applyNumberFormat="1" applyFont="1" applyFill="1" applyBorder="1" applyAlignment="1">
      <x:alignment vertical="center" wrapText="1"/>
    </x:xf>
    <x:xf numFmtId="0" fontId="34" fillId="178" borderId="10" xfId="0" applyNumberFormat="1" applyFont="1" applyFill="1" applyBorder="1" applyAlignment="1">
      <x:alignment vertical="top" wrapText="1"/>
    </x:xf>
    <x:xf numFmtId="0" fontId="34" fillId="178" borderId="10" xfId="0" applyNumberFormat="1" applyFont="1" applyFill="1" applyBorder="1"/>
    <x:xf numFmtId="0" fontId="34" fillId="178" borderId="10" xfId="0" applyNumberFormat="1" applyFont="1" applyFill="1" applyBorder="1" applyAlignment="1">
      <x:alignment wrapText="1"/>
    </x:xf>
    <x:xf numFmtId="0" fontId="34" fillId="178" borderId="10" xfId="0" applyNumberFormat="1" applyFont="1" applyFill="1" applyBorder="1" applyAlignment="1">
      <x:alignment vertical="center" wrapText="1"/>
    </x:xf>
    <x:xf numFmtId="0" fontId="3" fillId="179" borderId="1" xfId="0" applyNumberFormat="1" applyFont="1" applyFill="1" applyBorder="1" applyAlignment="1">
      <x:alignment horizontal="center" vertical="center" wrapText="1"/>
    </x:xf>
    <x:xf numFmtId="0" fontId="10" fillId="180" borderId="15" xfId="0" applyNumberFormat="1" applyFont="1" applyFill="1" applyBorder="1" applyAlignment="1">
      <x:alignment horizontal="center" vertical="top" wrapText="1"/>
    </x:xf>
    <x:xf numFmtId="0" fontId="11" fillId="180" borderId="16" xfId="0" applyNumberFormat="1" applyFont="1" applyFill="1" applyBorder="1" applyAlignment="1">
      <x:alignment horizontal="center" vertical="top" wrapText="1"/>
    </x:xf>
    <x:xf numFmtId="201" fontId="11" fillId="180" borderId="16" xfId="0" applyNumberFormat="1" applyFont="1" applyFill="1" applyBorder="1" applyAlignment="1">
      <x:alignment horizontal="center" vertical="top" wrapText="1"/>
    </x:xf>
    <x:xf numFmtId="0" fontId="11" fillId="180" borderId="16" xfId="0" applyNumberFormat="1" applyFont="1" applyFill="1" applyBorder="1" applyAlignment="1">
      <x:alignment vertical="top" wrapText="1"/>
    </x:xf>
    <x:xf numFmtId="0" fontId="11" fillId="180" borderId="17" xfId="0" applyNumberFormat="1" applyFont="1" applyFill="1" applyBorder="1" applyAlignment="1">
      <x:alignment vertical="top" wrapText="1"/>
    </x:xf>
    <x:xf numFmtId="0" fontId="11" fillId="181" borderId="18" xfId="0" applyNumberFormat="1" applyFont="1" applyFill="1" applyBorder="1" applyAlignment="1">
      <x:alignment horizontal="center" vertical="top" wrapText="1"/>
    </x:xf>
    <x:xf numFmtId="0" fontId="11" fillId="181" borderId="19" xfId="0" applyNumberFormat="1" applyFont="1" applyFill="1" applyBorder="1" applyAlignment="1">
      <x:alignment horizontal="center" vertical="top" wrapText="1"/>
    </x:xf>
    <x:xf numFmtId="201" fontId="11" fillId="181" borderId="19" xfId="0" applyNumberFormat="1" applyFont="1" applyFill="1" applyBorder="1" applyAlignment="1">
      <x:alignment horizontal="center" vertical="top" wrapText="1"/>
    </x:xf>
    <x:xf numFmtId="0" fontId="11" fillId="181" borderId="19" xfId="0" applyNumberFormat="1" applyFont="1" applyFill="1" applyBorder="1" applyAlignment="1">
      <x:alignment vertical="top" wrapText="1"/>
    </x:xf>
    <x:xf numFmtId="0" fontId="11" fillId="181" borderId="20" xfId="0" applyNumberFormat="1" applyFont="1" applyFill="1" applyBorder="1" applyAlignment="1">
      <x:alignment vertical="top" wrapText="1"/>
    </x:xf>
    <x:xf numFmtId="0" fontId="10" fillId="180" borderId="18" xfId="0" applyNumberFormat="1" applyFont="1" applyFill="1" applyBorder="1" applyAlignment="1">
      <x:alignment horizontal="center" vertical="top" wrapText="1"/>
    </x:xf>
    <x:xf numFmtId="0" fontId="11" fillId="180" borderId="19" xfId="0" applyNumberFormat="1" applyFont="1" applyFill="1" applyBorder="1" applyAlignment="1">
      <x:alignment horizontal="center" vertical="top" wrapText="1"/>
    </x:xf>
    <x:xf numFmtId="201" fontId="11" fillId="180" borderId="19" xfId="0" applyNumberFormat="1" applyFont="1" applyFill="1" applyBorder="1" applyAlignment="1">
      <x:alignment horizontal="center" vertical="top" wrapText="1"/>
    </x:xf>
    <x:xf numFmtId="0" fontId="11" fillId="180" borderId="19" xfId="0" applyNumberFormat="1" applyFont="1" applyFill="1" applyBorder="1" applyAlignment="1">
      <x:alignment vertical="top" wrapText="1"/>
    </x:xf>
    <x:xf numFmtId="0" fontId="11" fillId="180" borderId="20" xfId="0" applyNumberFormat="1" applyFont="1" applyFill="1" applyBorder="1" applyAlignment="1">
      <x:alignment vertical="top" wrapText="1"/>
    </x:xf>
    <x:xf numFmtId="0" fontId="10" fillId="181" borderId="18" xfId="0" applyNumberFormat="1" applyFont="1" applyFill="1" applyBorder="1" applyAlignment="1">
      <x:alignment horizontal="center" vertical="top" wrapText="1"/>
    </x:xf>
    <x:xf numFmtId="0" fontId="11" fillId="180" borderId="18" xfId="0" applyNumberFormat="1" applyFont="1" applyFill="1" applyBorder="1" applyAlignment="1">
      <x:alignment horizontal="center" vertical="top" wrapText="1"/>
    </x:xf>
    <x:xf numFmtId="0" fontId="11" fillId="181" borderId="21" xfId="0" applyNumberFormat="1" applyFont="1" applyFill="1" applyBorder="1" applyAlignment="1">
      <x:alignment horizontal="center" vertical="top" wrapText="1"/>
    </x:xf>
    <x:xf numFmtId="0" fontId="11" fillId="181" borderId="22" xfId="0" applyNumberFormat="1" applyFont="1" applyFill="1" applyBorder="1" applyAlignment="1">
      <x:alignment horizontal="center" vertical="top" wrapText="1"/>
    </x:xf>
    <x:xf numFmtId="201" fontId="11" fillId="181" borderId="22" xfId="0" applyNumberFormat="1" applyFont="1" applyFill="1" applyBorder="1" applyAlignment="1">
      <x:alignment horizontal="center" vertical="top" wrapText="1"/>
    </x:xf>
    <x:xf numFmtId="0" fontId="11" fillId="181" borderId="22" xfId="0" applyNumberFormat="1" applyFont="1" applyFill="1" applyBorder="1" applyAlignment="1">
      <x:alignment vertical="top" wrapText="1"/>
    </x:xf>
    <x:xf numFmtId="0" fontId="11" fillId="181" borderId="23" xfId="0" applyNumberFormat="1" applyFont="1" applyFill="1" applyBorder="1" applyAlignment="1">
      <x:alignment vertical="top" wrapText="1"/>
    </x:xf>
    <x:xf numFmtId="0" fontId="11" fillId="180" borderId="0" xfId="0" applyNumberFormat="1" applyFont="1" applyFill="1" applyBorder="1" applyAlignment="1">
      <x:alignment horizontal="center" vertical="top" wrapText="1"/>
    </x:xf>
    <x:xf numFmtId="201" fontId="11" fillId="180" borderId="0" xfId="0" applyNumberFormat="1" applyFont="1" applyFill="1" applyBorder="1" applyAlignment="1">
      <x:alignment horizontal="center" vertical="top" wrapText="1"/>
    </x:xf>
    <x:xf numFmtId="0" fontId="11" fillId="180" borderId="0" xfId="0" applyNumberFormat="1" applyFont="1" applyFill="1" applyBorder="1" applyAlignment="1">
      <x:alignment vertical="top" wrapText="1"/>
    </x:xf>
    <x:xf numFmtId="0" fontId="11" fillId="181" borderId="0" xfId="0" applyNumberFormat="1" applyFont="1" applyFill="1" applyBorder="1" applyAlignment="1">
      <x:alignment horizontal="center" vertical="top" wrapText="1"/>
    </x:xf>
    <x:xf numFmtId="201" fontId="11" fillId="181" borderId="0" xfId="0" applyNumberFormat="1" applyFont="1" applyFill="1" applyBorder="1" applyAlignment="1">
      <x:alignment horizontal="center" vertical="top" wrapText="1"/>
    </x:xf>
    <x:xf numFmtId="0" fontId="11" fillId="181" borderId="0" xfId="0" applyNumberFormat="1" applyFont="1" applyFill="1" applyBorder="1" applyAlignment="1">
      <x:alignment vertical="top" wrapText="1"/>
    </x:xf>
    <x:xf numFmtId="0" fontId="11" fillId="180" borderId="15" xfId="0" applyNumberFormat="1" applyFont="1" applyFill="1" applyBorder="1" applyAlignment="1">
      <x:alignment horizontal="center" vertical="top" wrapText="1"/>
    </x:xf>
    <x:xf numFmtId="0" fontId="11" fillId="182" borderId="15" xfId="0" applyNumberFormat="1" applyFont="1" applyFill="1" applyBorder="1" applyAlignment="1">
      <x:alignment horizontal="center" vertical="top" wrapText="1"/>
    </x:xf>
    <x:xf numFmtId="0" fontId="11" fillId="182" borderId="16" xfId="0" applyNumberFormat="1" applyFont="1" applyFill="1" applyBorder="1" applyAlignment="1">
      <x:alignment horizontal="center" vertical="top" wrapText="1"/>
    </x:xf>
    <x:xf numFmtId="0" fontId="11" fillId="182" borderId="16" xfId="0" applyNumberFormat="1" applyFont="1" applyFill="1" applyBorder="1" applyAlignment="1">
      <x:alignment vertical="top" wrapText="1"/>
    </x:xf>
    <x:xf numFmtId="0" fontId="11" fillId="182" borderId="17" xfId="0" applyNumberFormat="1" applyFont="1" applyFill="1" applyBorder="1" applyAlignment="1">
      <x:alignment vertical="top" wrapText="1"/>
    </x:xf>
    <x:xf numFmtId="0" fontId="11" fillId="182" borderId="18" xfId="0" applyNumberFormat="1" applyFont="1" applyFill="1" applyBorder="1" applyAlignment="1">
      <x:alignment horizontal="center" vertical="top" wrapText="1"/>
    </x:xf>
    <x:xf numFmtId="0" fontId="11" fillId="182" borderId="19" xfId="0" applyNumberFormat="1" applyFont="1" applyFill="1" applyBorder="1" applyAlignment="1">
      <x:alignment horizontal="center" vertical="top" wrapText="1"/>
    </x:xf>
    <x:xf numFmtId="0" fontId="11" fillId="182" borderId="19" xfId="0" applyNumberFormat="1" applyFont="1" applyFill="1" applyBorder="1" applyAlignment="1">
      <x:alignment vertical="top" wrapText="1"/>
    </x:xf>
    <x:xf numFmtId="0" fontId="11" fillId="182" borderId="20" xfId="0" applyNumberFormat="1" applyFont="1" applyFill="1" applyBorder="1" applyAlignment="1">
      <x:alignment vertical="top" wrapText="1"/>
    </x:xf>
    <x:xf numFmtId="0" fontId="11" fillId="182" borderId="0" xfId="0" applyNumberFormat="1" applyFont="1" applyFill="1" applyBorder="1" applyAlignment="1">
      <x:alignment horizontal="center" vertical="top" wrapText="1"/>
    </x:xf>
    <x:xf numFmtId="0" fontId="11" fillId="182" borderId="0" xfId="0" applyNumberFormat="1" applyFont="1" applyFill="1" applyBorder="1" applyAlignment="1">
      <x:alignment vertical="top" wrapText="1"/>
    </x:xf>
    <x:xf numFmtId="200" fontId="11" fillId="180" borderId="16" xfId="0" applyNumberFormat="1" applyFont="1" applyFill="1" applyBorder="1" applyAlignment="1">
      <x:alignment horizontal="center" vertical="top" wrapText="1"/>
    </x:xf>
    <x:xf numFmtId="200" fontId="11" fillId="181" borderId="19" xfId="0" applyNumberFormat="1" applyFont="1" applyFill="1" applyBorder="1" applyAlignment="1">
      <x:alignment horizontal="center" vertical="top" wrapText="1"/>
    </x:xf>
    <x:xf numFmtId="200" fontId="11" fillId="180" borderId="19" xfId="0" applyNumberFormat="1" applyFont="1" applyFill="1" applyBorder="1" applyAlignment="1">
      <x:alignment horizontal="center" vertical="top" wrapText="1"/>
    </x:xf>
    <x:xf numFmtId="0" fontId="1" fillId="183" borderId="0" xfId="0" applyNumberFormat="1" applyFont="1" applyFill="1" applyBorder="1" applyAlignment="1">
      <x:alignment horizontal="left" vertical="center"/>
    </x:xf>
    <x:xf numFmtId="0" fontId="14" fillId="180" borderId="11" xfId="0" applyNumberFormat="1" applyFont="1" applyFill="1" applyBorder="1" applyAlignment="1">
      <x:alignment vertical="center" wrapText="1"/>
    </x:xf>
    <x:xf numFmtId="202" fontId="13" fillId="180" borderId="11" xfId="0" applyNumberFormat="1" applyFont="1" applyFill="1" applyBorder="1" applyAlignment="1">
      <x:alignment vertical="center" wrapText="1"/>
    </x:xf>
    <x:xf numFmtId="0" fontId="13" fillId="180" borderId="11" xfId="0" applyNumberFormat="1" applyFont="1" applyFill="1" applyBorder="1" applyAlignment="1">
      <x:alignment vertical="center" wrapText="1"/>
    </x:xf>
    <x:xf numFmtId="0" fontId="15" fillId="184" borderId="0" xfId="0" applyNumberFormat="1" applyFont="1" applyFill="1" applyBorder="1" applyAlignment="1">
      <x:alignment vertical="center" wrapText="1"/>
    </x:xf>
    <x:xf numFmtId="0" fontId="16" fillId="180" borderId="11" xfId="0" applyNumberFormat="1" applyFont="1" applyFill="1" applyBorder="1" applyAlignment="1">
      <x:alignment horizontal="center" vertical="center"/>
    </x:xf>
    <x:xf numFmtId="0" fontId="16" fillId="181" borderId="11" xfId="0" applyNumberFormat="1" applyFont="1" applyFill="1" applyBorder="1" applyAlignment="1">
      <x:alignment horizontal="center" vertical="center"/>
    </x:xf>
    <x:xf numFmtId="203" fontId="16" fillId="181" borderId="11" xfId="0" applyNumberFormat="1" applyFont="1" applyFill="1" applyBorder="1" applyAlignment="1">
      <x:alignment horizontal="center" vertical="center"/>
    </x:xf>
    <x:xf numFmtId="0" fontId="17" fillId="185" borderId="12" xfId="0" applyNumberFormat="1" applyFont="1" applyFill="1" applyBorder="1" applyAlignment="1">
      <x:alignment vertical="center" wrapText="1"/>
    </x:xf>
    <x:xf numFmtId="0" fontId="18" fillId="186" borderId="13" xfId="0" applyNumberFormat="1" applyFont="1" applyFill="1" applyBorder="1" applyAlignment="1">
      <x:alignment horizontal="center" vertical="center" wrapText="1"/>
    </x:xf>
    <x:xf numFmtId="0" fontId="11" fillId="187" borderId="14" xfId="0" applyNumberFormat="1" applyFont="1" applyFill="1" applyBorder="1" applyAlignment="1">
      <x:alignment vertical="top" wrapText="1"/>
    </x:xf>
    <x:xf numFmtId="204" fontId="11" fillId="187" borderId="14" xfId="0" applyNumberFormat="1" applyFont="1" applyFill="1" applyBorder="1" applyAlignment="1">
      <x:alignment vertical="top" wrapText="1"/>
    </x:xf>
    <x:xf numFmtId="0" fontId="11" fillId="187" borderId="14" xfId="0" applyNumberFormat="1" applyFont="1" applyFill="1" applyBorder="1" applyAlignment="1">
      <x:alignment horizontal="center" vertical="top" wrapText="1"/>
    </x:xf>
    <x:xf numFmtId="0" fontId="11" fillId="181" borderId="14" xfId="0" applyNumberFormat="1" applyFont="1" applyFill="1" applyBorder="1" applyAlignment="1">
      <x:alignment vertical="top" wrapText="1"/>
    </x:xf>
    <x:xf numFmtId="204" fontId="11" fillId="181" borderId="14" xfId="0" applyNumberFormat="1" applyFont="1" applyFill="1" applyBorder="1" applyAlignment="1">
      <x:alignment vertical="top" wrapText="1"/>
    </x:xf>
    <x:xf numFmtId="0" fontId="11" fillId="181" borderId="14" xfId="0" applyNumberFormat="1" applyFont="1" applyFill="1" applyBorder="1" applyAlignment="1">
      <x:alignment horizontal="center" vertical="top" wrapText="1"/>
    </x:xf>
    <x:xf numFmtId="204" fontId="11" fillId="181" borderId="0" xfId="0" applyNumberFormat="1" applyFont="1" applyFill="1" applyBorder="1" applyAlignment="1">
      <x:alignment vertical="top" wrapText="1"/>
    </x:xf>
    <x:xf numFmtId="0" fontId="11" fillId="187" borderId="0" xfId="0" applyNumberFormat="1" applyFont="1" applyFill="1" applyBorder="1" applyAlignment="1">
      <x:alignment vertical="top" wrapText="1"/>
    </x:xf>
    <x:xf numFmtId="204" fontId="11" fillId="187" borderId="0" xfId="0" applyNumberFormat="1" applyFont="1" applyFill="1" applyBorder="1" applyAlignment="1">
      <x:alignment vertical="top" wrapText="1"/>
    </x:xf>
    <x:xf numFmtId="0" fontId="11" fillId="187" borderId="0" xfId="0" applyNumberFormat="1" applyFont="1" applyFill="1" applyBorder="1" applyAlignment="1">
      <x:alignment horizontal="center" vertical="top" wrapText="1"/>
    </x:xf>
    <x:xf numFmtId="0" fontId="0" fillId="187" borderId="0" xfId="0" applyNumberFormat="1" applyFont="1" applyFill="1" applyBorder="1"/>
    <x:xf numFmtId="204" fontId="0" fillId="187" borderId="0" xfId="0" applyNumberFormat="1" applyFont="1" applyFill="1" applyBorder="1"/>
    <x:xf numFmtId="0" fontId="0" fillId="181" borderId="0" xfId="0" applyNumberFormat="1" applyFont="1" applyFill="1" applyBorder="1"/>
    <x:xf numFmtId="204" fontId="0" fillId="181" borderId="0" xfId="0" applyNumberFormat="1" applyFont="1" applyFill="1" applyBorder="1"/>
    <x:xf numFmtId="0" fontId="0" fillId="187" borderId="0" xfId="0" applyNumberFormat="1" applyFont="1" applyFill="1" applyBorder="1" applyAlignment="1">
      <x:alignment wrapText="1"/>
    </x:xf>
    <x:xf numFmtId="204" fontId="0" fillId="187" borderId="0" xfId="0" applyNumberFormat="1" applyFont="1" applyFill="1" applyBorder="1" applyAlignment="1">
      <x:alignment wrapText="1"/>
    </x:xf>
    <x:xf numFmtId="0" fontId="0" fillId="181" borderId="0" xfId="0" applyNumberFormat="1" applyFont="1" applyFill="1" applyBorder="1" applyAlignment="1">
      <x:alignment wrapText="1"/>
    </x:xf>
    <x:xf numFmtId="204" fontId="0" fillId="181" borderId="0" xfId="0" applyNumberFormat="1" applyFont="1" applyFill="1" applyBorder="1" applyAlignment="1">
      <x:alignment wrapText="1"/>
    </x:xf>
    <x:xf numFmtId="0" fontId="0" fillId="187" borderId="0" xfId="0" applyNumberFormat="1" applyFont="1" applyFill="1" applyBorder="1" applyAlignment="1">
      <x:alignment vertical="top" wrapText="1"/>
    </x:xf>
    <x:xf numFmtId="204" fontId="0" fillId="187" borderId="0" xfId="0" applyNumberFormat="1" applyFont="1" applyFill="1" applyBorder="1" applyAlignment="1">
      <x:alignment vertical="top" wrapText="1"/>
    </x:xf>
    <x:xf numFmtId="0" fontId="0" fillId="181" borderId="0" xfId="0" applyNumberFormat="1" applyFont="1" applyFill="1" applyBorder="1" applyAlignment="1">
      <x:alignment vertical="top" wrapText="1"/>
    </x:xf>
    <x:xf numFmtId="204" fontId="0" fillId="181" borderId="0" xfId="0" applyNumberFormat="1" applyFont="1" applyFill="1" applyBorder="1" applyAlignment="1">
      <x:alignment vertical="top" wrapText="1"/>
    </x:xf>
    <x:xf numFmtId="0" fontId="1" fillId="183" borderId="0" xfId="0" applyNumberFormat="1" applyFont="1" applyFill="1" applyBorder="1" applyAlignment="1">
      <x:alignment vertical="center"/>
    </x:xf>
    <x:xf numFmtId="0" fontId="13" fillId="180" borderId="0" xfId="0" applyNumberFormat="1" applyFont="1" applyFill="1" applyBorder="1" applyAlignment="1">
      <x:alignment vertical="center" wrapText="1"/>
    </x:xf>
    <x:xf numFmtId="0" fontId="3" fillId="179" borderId="0" xfId="0" applyNumberFormat="1" applyFont="1" applyFill="1" applyBorder="1" applyAlignment="1">
      <x:alignment horizontal="center" vertical="center" wrapText="1"/>
    </x:xf>
    <x:xf numFmtId="204" fontId="11" fillId="187" borderId="0" xfId="0" applyNumberFormat="1" applyFont="1" applyFill="1" applyBorder="1" applyAlignment="1">
      <x:alignment horizontal="center" vertical="top" wrapText="1"/>
    </x:xf>
    <x:xf numFmtId="204" fontId="11" fillId="181" borderId="0" xfId="0" applyNumberFormat="1" applyFont="1" applyFill="1" applyBorder="1" applyAlignment="1">
      <x:alignment horizontal="center" vertical="top" wrapText="1"/>
    </x:xf>
    <x:xf numFmtId="0" fontId="20" fillId="188" borderId="10" xfId="0" applyNumberFormat="1" applyFont="1" applyFill="1" applyBorder="1" applyAlignment="1">
      <x:alignment vertical="top" wrapText="1"/>
    </x:xf>
    <x:xf numFmtId="0" fontId="20" fillId="188" borderId="10" xfId="0" applyNumberFormat="1" applyFont="1" applyFill="1" applyBorder="1"/>
    <x:xf numFmtId="0" fontId="20" fillId="188" borderId="10" xfId="0" applyNumberFormat="1" applyFont="1" applyFill="1" applyBorder="1" applyAlignment="1">
      <x:alignment wrapText="1"/>
    </x:xf>
    <x:xf numFmtId="0" fontId="20" fillId="188" borderId="10" xfId="0" applyNumberFormat="1" applyFont="1" applyFill="1" applyBorder="1" applyAlignment="1">
      <x:alignment vertical="center" wrapText="1"/>
    </x:xf>
    <x:xf numFmtId="0" fontId="35" fillId="188" borderId="10" xfId="0" applyNumberFormat="1" applyFont="1" applyFill="1" applyBorder="1" applyAlignment="1">
      <x:alignment vertical="top" wrapText="1"/>
    </x:xf>
    <x:xf numFmtId="0" fontId="35" fillId="188" borderId="10" xfId="0" applyNumberFormat="1" applyFont="1" applyFill="1" applyBorder="1"/>
    <x:xf numFmtId="0" fontId="35" fillId="188" borderId="10" xfId="0" applyNumberFormat="1" applyFont="1" applyFill="1" applyBorder="1" applyAlignment="1">
      <x:alignment wrapText="1"/>
    </x:xf>
    <x:xf numFmtId="0" fontId="35" fillId="188" borderId="10" xfId="0" applyNumberFormat="1" applyFont="1" applyFill="1" applyBorder="1" applyAlignment="1">
      <x:alignment vertical="center" wrapText="1"/>
    </x:xf>
    <x:xf numFmtId="0" fontId="3" fillId="189" borderId="1" xfId="0" applyNumberFormat="1" applyFont="1" applyFill="1" applyBorder="1" applyAlignment="1">
      <x:alignment horizontal="center" vertical="center" wrapText="1"/>
    </x:xf>
    <x:xf numFmtId="0" fontId="10" fillId="190" borderId="15" xfId="0" applyNumberFormat="1" applyFont="1" applyFill="1" applyBorder="1" applyAlignment="1">
      <x:alignment horizontal="center" vertical="top" wrapText="1"/>
    </x:xf>
    <x:xf numFmtId="0" fontId="11" fillId="190" borderId="16" xfId="0" applyNumberFormat="1" applyFont="1" applyFill="1" applyBorder="1" applyAlignment="1">
      <x:alignment horizontal="center" vertical="top" wrapText="1"/>
    </x:xf>
    <x:xf numFmtId="201" fontId="11" fillId="190" borderId="16" xfId="0" applyNumberFormat="1" applyFont="1" applyFill="1" applyBorder="1" applyAlignment="1">
      <x:alignment horizontal="center" vertical="top" wrapText="1"/>
    </x:xf>
    <x:xf numFmtId="0" fontId="11" fillId="190" borderId="16" xfId="0" applyNumberFormat="1" applyFont="1" applyFill="1" applyBorder="1" applyAlignment="1">
      <x:alignment vertical="top" wrapText="1"/>
    </x:xf>
    <x:xf numFmtId="0" fontId="11" fillId="190" borderId="17" xfId="0" applyNumberFormat="1" applyFont="1" applyFill="1" applyBorder="1" applyAlignment="1">
      <x:alignment vertical="top" wrapText="1"/>
    </x:xf>
    <x:xf numFmtId="0" fontId="11" fillId="191" borderId="18" xfId="0" applyNumberFormat="1" applyFont="1" applyFill="1" applyBorder="1" applyAlignment="1">
      <x:alignment horizontal="center" vertical="top" wrapText="1"/>
    </x:xf>
    <x:xf numFmtId="0" fontId="11" fillId="191" borderId="19" xfId="0" applyNumberFormat="1" applyFont="1" applyFill="1" applyBorder="1" applyAlignment="1">
      <x:alignment horizontal="center" vertical="top" wrapText="1"/>
    </x:xf>
    <x:xf numFmtId="201" fontId="11" fillId="191" borderId="19" xfId="0" applyNumberFormat="1" applyFont="1" applyFill="1" applyBorder="1" applyAlignment="1">
      <x:alignment horizontal="center" vertical="top" wrapText="1"/>
    </x:xf>
    <x:xf numFmtId="0" fontId="11" fillId="191" borderId="19" xfId="0" applyNumberFormat="1" applyFont="1" applyFill="1" applyBorder="1" applyAlignment="1">
      <x:alignment vertical="top" wrapText="1"/>
    </x:xf>
    <x:xf numFmtId="0" fontId="11" fillId="191" borderId="20" xfId="0" applyNumberFormat="1" applyFont="1" applyFill="1" applyBorder="1" applyAlignment="1">
      <x:alignment vertical="top" wrapText="1"/>
    </x:xf>
    <x:xf numFmtId="0" fontId="10" fillId="190" borderId="18" xfId="0" applyNumberFormat="1" applyFont="1" applyFill="1" applyBorder="1" applyAlignment="1">
      <x:alignment horizontal="center" vertical="top" wrapText="1"/>
    </x:xf>
    <x:xf numFmtId="0" fontId="11" fillId="190" borderId="19" xfId="0" applyNumberFormat="1" applyFont="1" applyFill="1" applyBorder="1" applyAlignment="1">
      <x:alignment horizontal="center" vertical="top" wrapText="1"/>
    </x:xf>
    <x:xf numFmtId="201" fontId="11" fillId="190" borderId="19" xfId="0" applyNumberFormat="1" applyFont="1" applyFill="1" applyBorder="1" applyAlignment="1">
      <x:alignment horizontal="center" vertical="top" wrapText="1"/>
    </x:xf>
    <x:xf numFmtId="0" fontId="11" fillId="190" borderId="19" xfId="0" applyNumberFormat="1" applyFont="1" applyFill="1" applyBorder="1" applyAlignment="1">
      <x:alignment vertical="top" wrapText="1"/>
    </x:xf>
    <x:xf numFmtId="0" fontId="11" fillId="190" borderId="20" xfId="0" applyNumberFormat="1" applyFont="1" applyFill="1" applyBorder="1" applyAlignment="1">
      <x:alignment vertical="top" wrapText="1"/>
    </x:xf>
    <x:xf numFmtId="0" fontId="10" fillId="191" borderId="18" xfId="0" applyNumberFormat="1" applyFont="1" applyFill="1" applyBorder="1" applyAlignment="1">
      <x:alignment horizontal="center" vertical="top" wrapText="1"/>
    </x:xf>
    <x:xf numFmtId="0" fontId="11" fillId="190" borderId="18" xfId="0" applyNumberFormat="1" applyFont="1" applyFill="1" applyBorder="1" applyAlignment="1">
      <x:alignment horizontal="center" vertical="top" wrapText="1"/>
    </x:xf>
    <x:xf numFmtId="0" fontId="11" fillId="191" borderId="21" xfId="0" applyNumberFormat="1" applyFont="1" applyFill="1" applyBorder="1" applyAlignment="1">
      <x:alignment horizontal="center" vertical="top" wrapText="1"/>
    </x:xf>
    <x:xf numFmtId="0" fontId="11" fillId="191" borderId="22" xfId="0" applyNumberFormat="1" applyFont="1" applyFill="1" applyBorder="1" applyAlignment="1">
      <x:alignment horizontal="center" vertical="top" wrapText="1"/>
    </x:xf>
    <x:xf numFmtId="201" fontId="11" fillId="191" borderId="22" xfId="0" applyNumberFormat="1" applyFont="1" applyFill="1" applyBorder="1" applyAlignment="1">
      <x:alignment horizontal="center" vertical="top" wrapText="1"/>
    </x:xf>
    <x:xf numFmtId="0" fontId="11" fillId="191" borderId="22" xfId="0" applyNumberFormat="1" applyFont="1" applyFill="1" applyBorder="1" applyAlignment="1">
      <x:alignment vertical="top" wrapText="1"/>
    </x:xf>
    <x:xf numFmtId="0" fontId="11" fillId="191" borderId="23" xfId="0" applyNumberFormat="1" applyFont="1" applyFill="1" applyBorder="1" applyAlignment="1">
      <x:alignment vertical="top" wrapText="1"/>
    </x:xf>
    <x:xf numFmtId="0" fontId="11" fillId="190" borderId="0" xfId="0" applyNumberFormat="1" applyFont="1" applyFill="1" applyBorder="1" applyAlignment="1">
      <x:alignment horizontal="center" vertical="top" wrapText="1"/>
    </x:xf>
    <x:xf numFmtId="201" fontId="11" fillId="190" borderId="0" xfId="0" applyNumberFormat="1" applyFont="1" applyFill="1" applyBorder="1" applyAlignment="1">
      <x:alignment horizontal="center" vertical="top" wrapText="1"/>
    </x:xf>
    <x:xf numFmtId="0" fontId="11" fillId="190" borderId="0" xfId="0" applyNumberFormat="1" applyFont="1" applyFill="1" applyBorder="1" applyAlignment="1">
      <x:alignment vertical="top" wrapText="1"/>
    </x:xf>
    <x:xf numFmtId="0" fontId="11" fillId="191" borderId="0" xfId="0" applyNumberFormat="1" applyFont="1" applyFill="1" applyBorder="1" applyAlignment="1">
      <x:alignment horizontal="center" vertical="top" wrapText="1"/>
    </x:xf>
    <x:xf numFmtId="201" fontId="11" fillId="191" borderId="0" xfId="0" applyNumberFormat="1" applyFont="1" applyFill="1" applyBorder="1" applyAlignment="1">
      <x:alignment horizontal="center" vertical="top" wrapText="1"/>
    </x:xf>
    <x:xf numFmtId="0" fontId="11" fillId="191" borderId="0" xfId="0" applyNumberFormat="1" applyFont="1" applyFill="1" applyBorder="1" applyAlignment="1">
      <x:alignment vertical="top" wrapText="1"/>
    </x:xf>
    <x:xf numFmtId="0" fontId="11" fillId="190" borderId="15" xfId="0" applyNumberFormat="1" applyFont="1" applyFill="1" applyBorder="1" applyAlignment="1">
      <x:alignment horizontal="center" vertical="top" wrapText="1"/>
    </x:xf>
    <x:xf numFmtId="0" fontId="11" fillId="192" borderId="15" xfId="0" applyNumberFormat="1" applyFont="1" applyFill="1" applyBorder="1" applyAlignment="1">
      <x:alignment horizontal="center" vertical="top" wrapText="1"/>
    </x:xf>
    <x:xf numFmtId="0" fontId="11" fillId="192" borderId="16" xfId="0" applyNumberFormat="1" applyFont="1" applyFill="1" applyBorder="1" applyAlignment="1">
      <x:alignment horizontal="center" vertical="top" wrapText="1"/>
    </x:xf>
    <x:xf numFmtId="0" fontId="11" fillId="192" borderId="16" xfId="0" applyNumberFormat="1" applyFont="1" applyFill="1" applyBorder="1" applyAlignment="1">
      <x:alignment vertical="top" wrapText="1"/>
    </x:xf>
    <x:xf numFmtId="0" fontId="11" fillId="192" borderId="17" xfId="0" applyNumberFormat="1" applyFont="1" applyFill="1" applyBorder="1" applyAlignment="1">
      <x:alignment vertical="top" wrapText="1"/>
    </x:xf>
    <x:xf numFmtId="0" fontId="11" fillId="192" borderId="18" xfId="0" applyNumberFormat="1" applyFont="1" applyFill="1" applyBorder="1" applyAlignment="1">
      <x:alignment horizontal="center" vertical="top" wrapText="1"/>
    </x:xf>
    <x:xf numFmtId="0" fontId="11" fillId="192" borderId="19" xfId="0" applyNumberFormat="1" applyFont="1" applyFill="1" applyBorder="1" applyAlignment="1">
      <x:alignment horizontal="center" vertical="top" wrapText="1"/>
    </x:xf>
    <x:xf numFmtId="0" fontId="11" fillId="192" borderId="19" xfId="0" applyNumberFormat="1" applyFont="1" applyFill="1" applyBorder="1" applyAlignment="1">
      <x:alignment vertical="top" wrapText="1"/>
    </x:xf>
    <x:xf numFmtId="0" fontId="11" fillId="192" borderId="20" xfId="0" applyNumberFormat="1" applyFont="1" applyFill="1" applyBorder="1" applyAlignment="1">
      <x:alignment vertical="top" wrapText="1"/>
    </x:xf>
    <x:xf numFmtId="0" fontId="11" fillId="192" borderId="0" xfId="0" applyNumberFormat="1" applyFont="1" applyFill="1" applyBorder="1" applyAlignment="1">
      <x:alignment horizontal="center" vertical="top" wrapText="1"/>
    </x:xf>
    <x:xf numFmtId="0" fontId="11" fillId="192" borderId="0" xfId="0" applyNumberFormat="1" applyFont="1" applyFill="1" applyBorder="1" applyAlignment="1">
      <x:alignment vertical="top" wrapText="1"/>
    </x:xf>
    <x:xf numFmtId="200" fontId="11" fillId="190" borderId="16" xfId="0" applyNumberFormat="1" applyFont="1" applyFill="1" applyBorder="1" applyAlignment="1">
      <x:alignment horizontal="center" vertical="top" wrapText="1"/>
    </x:xf>
    <x:xf numFmtId="200" fontId="11" fillId="191" borderId="19" xfId="0" applyNumberFormat="1" applyFont="1" applyFill="1" applyBorder="1" applyAlignment="1">
      <x:alignment horizontal="center" vertical="top" wrapText="1"/>
    </x:xf>
    <x:xf numFmtId="200" fontId="11" fillId="190" borderId="19" xfId="0" applyNumberFormat="1" applyFont="1" applyFill="1" applyBorder="1" applyAlignment="1">
      <x:alignment horizontal="center" vertical="top" wrapText="1"/>
    </x:xf>
    <x:xf numFmtId="0" fontId="1" fillId="193" borderId="0" xfId="0" applyNumberFormat="1" applyFont="1" applyFill="1" applyBorder="1" applyAlignment="1">
      <x:alignment horizontal="left" vertical="center"/>
    </x:xf>
    <x:xf numFmtId="0" fontId="14" fillId="190" borderId="11" xfId="0" applyNumberFormat="1" applyFont="1" applyFill="1" applyBorder="1" applyAlignment="1">
      <x:alignment vertical="center" wrapText="1"/>
    </x:xf>
    <x:xf numFmtId="202" fontId="13" fillId="190" borderId="11" xfId="0" applyNumberFormat="1" applyFont="1" applyFill="1" applyBorder="1" applyAlignment="1">
      <x:alignment vertical="center" wrapText="1"/>
    </x:xf>
    <x:xf numFmtId="0" fontId="13" fillId="190" borderId="11" xfId="0" applyNumberFormat="1" applyFont="1" applyFill="1" applyBorder="1" applyAlignment="1">
      <x:alignment vertical="center" wrapText="1"/>
    </x:xf>
    <x:xf numFmtId="0" fontId="15" fillId="194" borderId="0" xfId="0" applyNumberFormat="1" applyFont="1" applyFill="1" applyBorder="1" applyAlignment="1">
      <x:alignment vertical="center" wrapText="1"/>
    </x:xf>
    <x:xf numFmtId="0" fontId="16" fillId="190" borderId="11" xfId="0" applyNumberFormat="1" applyFont="1" applyFill="1" applyBorder="1" applyAlignment="1">
      <x:alignment horizontal="center" vertical="center"/>
    </x:xf>
    <x:xf numFmtId="0" fontId="16" fillId="191" borderId="11" xfId="0" applyNumberFormat="1" applyFont="1" applyFill="1" applyBorder="1" applyAlignment="1">
      <x:alignment horizontal="center" vertical="center"/>
    </x:xf>
    <x:xf numFmtId="203" fontId="16" fillId="191" borderId="11" xfId="0" applyNumberFormat="1" applyFont="1" applyFill="1" applyBorder="1" applyAlignment="1">
      <x:alignment horizontal="center" vertical="center"/>
    </x:xf>
    <x:xf numFmtId="0" fontId="17" fillId="195" borderId="12" xfId="0" applyNumberFormat="1" applyFont="1" applyFill="1" applyBorder="1" applyAlignment="1">
      <x:alignment vertical="center" wrapText="1"/>
    </x:xf>
    <x:xf numFmtId="0" fontId="18" fillId="196" borderId="13" xfId="0" applyNumberFormat="1" applyFont="1" applyFill="1" applyBorder="1" applyAlignment="1">
      <x:alignment horizontal="center" vertical="center" wrapText="1"/>
    </x:xf>
    <x:xf numFmtId="0" fontId="11" fillId="197" borderId="14" xfId="0" applyNumberFormat="1" applyFont="1" applyFill="1" applyBorder="1" applyAlignment="1">
      <x:alignment vertical="top" wrapText="1"/>
    </x:xf>
    <x:xf numFmtId="204" fontId="11" fillId="197" borderId="14" xfId="0" applyNumberFormat="1" applyFont="1" applyFill="1" applyBorder="1" applyAlignment="1">
      <x:alignment vertical="top" wrapText="1"/>
    </x:xf>
    <x:xf numFmtId="0" fontId="11" fillId="197" borderId="14" xfId="0" applyNumberFormat="1" applyFont="1" applyFill="1" applyBorder="1" applyAlignment="1">
      <x:alignment horizontal="center" vertical="top" wrapText="1"/>
    </x:xf>
    <x:xf numFmtId="0" fontId="11" fillId="191" borderId="14" xfId="0" applyNumberFormat="1" applyFont="1" applyFill="1" applyBorder="1" applyAlignment="1">
      <x:alignment vertical="top" wrapText="1"/>
    </x:xf>
    <x:xf numFmtId="204" fontId="11" fillId="191" borderId="14" xfId="0" applyNumberFormat="1" applyFont="1" applyFill="1" applyBorder="1" applyAlignment="1">
      <x:alignment vertical="top" wrapText="1"/>
    </x:xf>
    <x:xf numFmtId="0" fontId="11" fillId="191" borderId="14" xfId="0" applyNumberFormat="1" applyFont="1" applyFill="1" applyBorder="1" applyAlignment="1">
      <x:alignment horizontal="center" vertical="top" wrapText="1"/>
    </x:xf>
    <x:xf numFmtId="204" fontId="11" fillId="191" borderId="0" xfId="0" applyNumberFormat="1" applyFont="1" applyFill="1" applyBorder="1" applyAlignment="1">
      <x:alignment vertical="top" wrapText="1"/>
    </x:xf>
    <x:xf numFmtId="0" fontId="11" fillId="197" borderId="0" xfId="0" applyNumberFormat="1" applyFont="1" applyFill="1" applyBorder="1" applyAlignment="1">
      <x:alignment vertical="top" wrapText="1"/>
    </x:xf>
    <x:xf numFmtId="204" fontId="11" fillId="197" borderId="0" xfId="0" applyNumberFormat="1" applyFont="1" applyFill="1" applyBorder="1" applyAlignment="1">
      <x:alignment vertical="top" wrapText="1"/>
    </x:xf>
    <x:xf numFmtId="0" fontId="11" fillId="197" borderId="0" xfId="0" applyNumberFormat="1" applyFont="1" applyFill="1" applyBorder="1" applyAlignment="1">
      <x:alignment horizontal="center" vertical="top" wrapText="1"/>
    </x:xf>
    <x:xf numFmtId="0" fontId="1" fillId="193" borderId="0" xfId="0" applyNumberFormat="1" applyFont="1" applyFill="1" applyBorder="1" applyAlignment="1">
      <x:alignment vertical="center"/>
    </x:xf>
    <x:xf numFmtId="0" fontId="13" fillId="190" borderId="0" xfId="0" applyNumberFormat="1" applyFont="1" applyFill="1" applyBorder="1" applyAlignment="1">
      <x:alignment vertical="center" wrapText="1"/>
    </x:xf>
    <x:xf numFmtId="0" fontId="3" fillId="189" borderId="0" xfId="0" applyNumberFormat="1" applyFont="1" applyFill="1" applyBorder="1" applyAlignment="1">
      <x:alignment horizontal="center" vertical="center" wrapText="1"/>
    </x:xf>
    <x:xf numFmtId="204" fontId="11" fillId="197" borderId="0" xfId="0" applyNumberFormat="1" applyFont="1" applyFill="1" applyBorder="1" applyAlignment="1">
      <x:alignment horizontal="center" vertical="top" wrapText="1"/>
    </x:xf>
    <x:xf numFmtId="204" fontId="11" fillId="191" borderId="0" xfId="0" applyNumberFormat="1" applyFont="1" applyFill="1" applyBorder="1" applyAlignment="1">
      <x:alignment horizontal="center" vertical="top" wrapText="1"/>
    </x:xf>
    <x:xf numFmtId="0" fontId="20" fillId="198" borderId="10" xfId="0" applyNumberFormat="1" applyFont="1" applyFill="1" applyBorder="1" applyAlignment="1">
      <x:alignment vertical="top" wrapText="1"/>
    </x:xf>
    <x:xf numFmtId="0" fontId="20" fillId="198" borderId="10" xfId="0" applyNumberFormat="1" applyFont="1" applyFill="1" applyBorder="1"/>
    <x:xf numFmtId="0" fontId="20" fillId="198" borderId="10" xfId="0" applyNumberFormat="1" applyFont="1" applyFill="1" applyBorder="1" applyAlignment="1">
      <x:alignment wrapText="1"/>
    </x:xf>
    <x:xf numFmtId="0" fontId="20" fillId="198" borderId="10" xfId="0" applyNumberFormat="1" applyFont="1" applyFill="1" applyBorder="1" applyAlignment="1">
      <x:alignment vertical="center" wrapText="1"/>
    </x:xf>
    <x:xf numFmtId="0" fontId="36" fillId="198" borderId="10" xfId="0" applyNumberFormat="1" applyFont="1" applyFill="1" applyBorder="1" applyAlignment="1">
      <x:alignment vertical="top" wrapText="1"/>
    </x:xf>
    <x:xf numFmtId="0" fontId="36" fillId="198" borderId="10" xfId="0" applyNumberFormat="1" applyFont="1" applyFill="1" applyBorder="1"/>
    <x:xf numFmtId="0" fontId="36" fillId="198" borderId="10" xfId="0" applyNumberFormat="1" applyFont="1" applyFill="1" applyBorder="1" applyAlignment="1">
      <x:alignment wrapText="1"/>
    </x:xf>
    <x:xf numFmtId="0" fontId="36" fillId="198" borderId="10" xfId="0" applyNumberFormat="1" applyFont="1" applyFill="1" applyBorder="1" applyAlignment="1">
      <x:alignment vertical="center" wrapText="1"/>
    </x:xf>
    <x:xf numFmtId="0" fontId="3" fillId="199" borderId="1" xfId="0" applyNumberFormat="1" applyFont="1" applyFill="1" applyBorder="1" applyAlignment="1">
      <x:alignment horizontal="center" vertical="center" wrapText="1"/>
    </x:xf>
    <x:xf numFmtId="0" fontId="10" fillId="200" borderId="15" xfId="0" applyNumberFormat="1" applyFont="1" applyFill="1" applyBorder="1" applyAlignment="1">
      <x:alignment horizontal="center" vertical="top" wrapText="1"/>
    </x:xf>
    <x:xf numFmtId="0" fontId="11" fillId="200" borderId="16" xfId="0" applyNumberFormat="1" applyFont="1" applyFill="1" applyBorder="1" applyAlignment="1">
      <x:alignment horizontal="center" vertical="top" wrapText="1"/>
    </x:xf>
    <x:xf numFmtId="201" fontId="11" fillId="200" borderId="16" xfId="0" applyNumberFormat="1" applyFont="1" applyFill="1" applyBorder="1" applyAlignment="1">
      <x:alignment horizontal="center" vertical="top" wrapText="1"/>
    </x:xf>
    <x:xf numFmtId="0" fontId="11" fillId="200" borderId="16" xfId="0" applyNumberFormat="1" applyFont="1" applyFill="1" applyBorder="1" applyAlignment="1">
      <x:alignment vertical="top" wrapText="1"/>
    </x:xf>
    <x:xf numFmtId="0" fontId="11" fillId="200" borderId="17" xfId="0" applyNumberFormat="1" applyFont="1" applyFill="1" applyBorder="1" applyAlignment="1">
      <x:alignment vertical="top" wrapText="1"/>
    </x:xf>
    <x:xf numFmtId="0" fontId="11" fillId="201" borderId="18" xfId="0" applyNumberFormat="1" applyFont="1" applyFill="1" applyBorder="1" applyAlignment="1">
      <x:alignment horizontal="center" vertical="top" wrapText="1"/>
    </x:xf>
    <x:xf numFmtId="0" fontId="11" fillId="201" borderId="19" xfId="0" applyNumberFormat="1" applyFont="1" applyFill="1" applyBorder="1" applyAlignment="1">
      <x:alignment horizontal="center" vertical="top" wrapText="1"/>
    </x:xf>
    <x:xf numFmtId="201" fontId="11" fillId="201" borderId="19" xfId="0" applyNumberFormat="1" applyFont="1" applyFill="1" applyBorder="1" applyAlignment="1">
      <x:alignment horizontal="center" vertical="top" wrapText="1"/>
    </x:xf>
    <x:xf numFmtId="0" fontId="11" fillId="201" borderId="19" xfId="0" applyNumberFormat="1" applyFont="1" applyFill="1" applyBorder="1" applyAlignment="1">
      <x:alignment vertical="top" wrapText="1"/>
    </x:xf>
    <x:xf numFmtId="0" fontId="11" fillId="201" borderId="20" xfId="0" applyNumberFormat="1" applyFont="1" applyFill="1" applyBorder="1" applyAlignment="1">
      <x:alignment vertical="top" wrapText="1"/>
    </x:xf>
    <x:xf numFmtId="0" fontId="10" fillId="200" borderId="18" xfId="0" applyNumberFormat="1" applyFont="1" applyFill="1" applyBorder="1" applyAlignment="1">
      <x:alignment horizontal="center" vertical="top" wrapText="1"/>
    </x:xf>
    <x:xf numFmtId="0" fontId="11" fillId="200" borderId="19" xfId="0" applyNumberFormat="1" applyFont="1" applyFill="1" applyBorder="1" applyAlignment="1">
      <x:alignment horizontal="center" vertical="top" wrapText="1"/>
    </x:xf>
    <x:xf numFmtId="201" fontId="11" fillId="200" borderId="19" xfId="0" applyNumberFormat="1" applyFont="1" applyFill="1" applyBorder="1" applyAlignment="1">
      <x:alignment horizontal="center" vertical="top" wrapText="1"/>
    </x:xf>
    <x:xf numFmtId="0" fontId="11" fillId="200" borderId="19" xfId="0" applyNumberFormat="1" applyFont="1" applyFill="1" applyBorder="1" applyAlignment="1">
      <x:alignment vertical="top" wrapText="1"/>
    </x:xf>
    <x:xf numFmtId="0" fontId="11" fillId="200" borderId="20" xfId="0" applyNumberFormat="1" applyFont="1" applyFill="1" applyBorder="1" applyAlignment="1">
      <x:alignment vertical="top" wrapText="1"/>
    </x:xf>
    <x:xf numFmtId="0" fontId="10" fillId="201" borderId="18" xfId="0" applyNumberFormat="1" applyFont="1" applyFill="1" applyBorder="1" applyAlignment="1">
      <x:alignment horizontal="center" vertical="top" wrapText="1"/>
    </x:xf>
    <x:xf numFmtId="0" fontId="11" fillId="200" borderId="18" xfId="0" applyNumberFormat="1" applyFont="1" applyFill="1" applyBorder="1" applyAlignment="1">
      <x:alignment horizontal="center" vertical="top" wrapText="1"/>
    </x:xf>
    <x:xf numFmtId="0" fontId="11" fillId="201" borderId="21" xfId="0" applyNumberFormat="1" applyFont="1" applyFill="1" applyBorder="1" applyAlignment="1">
      <x:alignment horizontal="center" vertical="top" wrapText="1"/>
    </x:xf>
    <x:xf numFmtId="0" fontId="11" fillId="201" borderId="22" xfId="0" applyNumberFormat="1" applyFont="1" applyFill="1" applyBorder="1" applyAlignment="1">
      <x:alignment horizontal="center" vertical="top" wrapText="1"/>
    </x:xf>
    <x:xf numFmtId="201" fontId="11" fillId="201" borderId="22" xfId="0" applyNumberFormat="1" applyFont="1" applyFill="1" applyBorder="1" applyAlignment="1">
      <x:alignment horizontal="center" vertical="top" wrapText="1"/>
    </x:xf>
    <x:xf numFmtId="0" fontId="11" fillId="201" borderId="22" xfId="0" applyNumberFormat="1" applyFont="1" applyFill="1" applyBorder="1" applyAlignment="1">
      <x:alignment vertical="top" wrapText="1"/>
    </x:xf>
    <x:xf numFmtId="0" fontId="11" fillId="201" borderId="23" xfId="0" applyNumberFormat="1" applyFont="1" applyFill="1" applyBorder="1" applyAlignment="1">
      <x:alignment vertical="top" wrapText="1"/>
    </x:xf>
    <x:xf numFmtId="0" fontId="11" fillId="200" borderId="15" xfId="0" applyNumberFormat="1" applyFont="1" applyFill="1" applyBorder="1" applyAlignment="1">
      <x:alignment horizontal="center" vertical="top" wrapText="1"/>
    </x:xf>
    <x:xf numFmtId="0" fontId="11" fillId="202" borderId="15" xfId="0" applyNumberFormat="1" applyFont="1" applyFill="1" applyBorder="1" applyAlignment="1">
      <x:alignment horizontal="center" vertical="top" wrapText="1"/>
    </x:xf>
    <x:xf numFmtId="0" fontId="11" fillId="202" borderId="16" xfId="0" applyNumberFormat="1" applyFont="1" applyFill="1" applyBorder="1" applyAlignment="1">
      <x:alignment horizontal="center" vertical="top" wrapText="1"/>
    </x:xf>
    <x:xf numFmtId="0" fontId="11" fillId="202" borderId="16" xfId="0" applyNumberFormat="1" applyFont="1" applyFill="1" applyBorder="1" applyAlignment="1">
      <x:alignment vertical="top" wrapText="1"/>
    </x:xf>
    <x:xf numFmtId="0" fontId="11" fillId="202" borderId="17" xfId="0" applyNumberFormat="1" applyFont="1" applyFill="1" applyBorder="1" applyAlignment="1">
      <x:alignment vertical="top" wrapText="1"/>
    </x:xf>
    <x:xf numFmtId="0" fontId="11" fillId="202" borderId="18" xfId="0" applyNumberFormat="1" applyFont="1" applyFill="1" applyBorder="1" applyAlignment="1">
      <x:alignment horizontal="center" vertical="top" wrapText="1"/>
    </x:xf>
    <x:xf numFmtId="0" fontId="11" fillId="202" borderId="19" xfId="0" applyNumberFormat="1" applyFont="1" applyFill="1" applyBorder="1" applyAlignment="1">
      <x:alignment horizontal="center" vertical="top" wrapText="1"/>
    </x:xf>
    <x:xf numFmtId="0" fontId="11" fillId="202" borderId="19" xfId="0" applyNumberFormat="1" applyFont="1" applyFill="1" applyBorder="1" applyAlignment="1">
      <x:alignment vertical="top" wrapText="1"/>
    </x:xf>
    <x:xf numFmtId="0" fontId="11" fillId="202" borderId="20" xfId="0" applyNumberFormat="1" applyFont="1" applyFill="1" applyBorder="1" applyAlignment="1">
      <x:alignment vertical="top" wrapText="1"/>
    </x:xf>
    <x:xf numFmtId="200" fontId="11" fillId="200" borderId="16" xfId="0" applyNumberFormat="1" applyFont="1" applyFill="1" applyBorder="1" applyAlignment="1">
      <x:alignment horizontal="center" vertical="top" wrapText="1"/>
    </x:xf>
    <x:xf numFmtId="200" fontId="11" fillId="201" borderId="19" xfId="0" applyNumberFormat="1" applyFont="1" applyFill="1" applyBorder="1" applyAlignment="1">
      <x:alignment horizontal="center" vertical="top" wrapText="1"/>
    </x:xf>
    <x:xf numFmtId="200" fontId="11" fillId="200" borderId="19" xfId="0" applyNumberFormat="1" applyFont="1" applyFill="1" applyBorder="1" applyAlignment="1">
      <x:alignment horizontal="center" vertical="top" wrapText="1"/>
    </x:xf>
    <x:xf numFmtId="0" fontId="1" fillId="203" borderId="0" xfId="0" applyNumberFormat="1" applyFont="1" applyFill="1" applyBorder="1" applyAlignment="1">
      <x:alignment horizontal="left" vertical="center"/>
    </x:xf>
    <x:xf numFmtId="0" fontId="14" fillId="200" borderId="11" xfId="0" applyNumberFormat="1" applyFont="1" applyFill="1" applyBorder="1" applyAlignment="1">
      <x:alignment vertical="center" wrapText="1"/>
    </x:xf>
    <x:xf numFmtId="202" fontId="13" fillId="200" borderId="11" xfId="0" applyNumberFormat="1" applyFont="1" applyFill="1" applyBorder="1" applyAlignment="1">
      <x:alignment vertical="center" wrapText="1"/>
    </x:xf>
    <x:xf numFmtId="0" fontId="13" fillId="200" borderId="11" xfId="0" applyNumberFormat="1" applyFont="1" applyFill="1" applyBorder="1" applyAlignment="1">
      <x:alignment vertical="center" wrapText="1"/>
    </x:xf>
    <x:xf numFmtId="0" fontId="15" fillId="204" borderId="0" xfId="0" applyNumberFormat="1" applyFont="1" applyFill="1" applyBorder="1" applyAlignment="1">
      <x:alignment vertical="center" wrapText="1"/>
    </x:xf>
    <x:xf numFmtId="0" fontId="16" fillId="200" borderId="11" xfId="0" applyNumberFormat="1" applyFont="1" applyFill="1" applyBorder="1" applyAlignment="1">
      <x:alignment horizontal="center" vertical="center"/>
    </x:xf>
    <x:xf numFmtId="0" fontId="16" fillId="201" borderId="11" xfId="0" applyNumberFormat="1" applyFont="1" applyFill="1" applyBorder="1" applyAlignment="1">
      <x:alignment horizontal="center" vertical="center"/>
    </x:xf>
    <x:xf numFmtId="203" fontId="16" fillId="201" borderId="11" xfId="0" applyNumberFormat="1" applyFont="1" applyFill="1" applyBorder="1" applyAlignment="1">
      <x:alignment horizontal="center" vertical="center"/>
    </x:xf>
    <x:xf numFmtId="0" fontId="17" fillId="205" borderId="12" xfId="0" applyNumberFormat="1" applyFont="1" applyFill="1" applyBorder="1" applyAlignment="1">
      <x:alignment vertical="center" wrapText="1"/>
    </x:xf>
    <x:xf numFmtId="0" fontId="18" fillId="206" borderId="13" xfId="0" applyNumberFormat="1" applyFont="1" applyFill="1" applyBorder="1" applyAlignment="1">
      <x:alignment horizontal="center" vertical="center" wrapText="1"/>
    </x:xf>
    <x:xf numFmtId="0" fontId="11" fillId="207" borderId="14" xfId="0" applyNumberFormat="1" applyFont="1" applyFill="1" applyBorder="1" applyAlignment="1">
      <x:alignment vertical="top" wrapText="1"/>
    </x:xf>
    <x:xf numFmtId="204" fontId="11" fillId="207" borderId="14" xfId="0" applyNumberFormat="1" applyFont="1" applyFill="1" applyBorder="1" applyAlignment="1">
      <x:alignment vertical="top" wrapText="1"/>
    </x:xf>
    <x:xf numFmtId="0" fontId="11" fillId="207" borderId="14" xfId="0" applyNumberFormat="1" applyFont="1" applyFill="1" applyBorder="1" applyAlignment="1">
      <x:alignment horizontal="center" vertical="top" wrapText="1"/>
    </x:xf>
    <x:xf numFmtId="0" fontId="11" fillId="201" borderId="14" xfId="0" applyNumberFormat="1" applyFont="1" applyFill="1" applyBorder="1" applyAlignment="1">
      <x:alignment vertical="top" wrapText="1"/>
    </x:xf>
    <x:xf numFmtId="204" fontId="11" fillId="201" borderId="14" xfId="0" applyNumberFormat="1" applyFont="1" applyFill="1" applyBorder="1" applyAlignment="1">
      <x:alignment vertical="top" wrapText="1"/>
    </x:xf>
    <x:xf numFmtId="0" fontId="11" fillId="201" borderId="14" xfId="0" applyNumberFormat="1" applyFont="1" applyFill="1" applyBorder="1" applyAlignment="1">
      <x:alignment horizontal="center" vertical="top" wrapText="1"/>
    </x:xf>
    <x:xf numFmtId="0" fontId="1" fillId="203" borderId="0" xfId="0" applyNumberFormat="1" applyFont="1" applyFill="1" applyBorder="1" applyAlignment="1">
      <x:alignment vertical="center"/>
    </x:xf>
    <x:xf numFmtId="0" fontId="13" fillId="200" borderId="0" xfId="0" applyNumberFormat="1" applyFont="1" applyFill="1" applyBorder="1" applyAlignment="1">
      <x:alignment vertical="center" wrapText="1"/>
    </x:xf>
    <x:xf numFmtId="0" fontId="3" fillId="199" borderId="0" xfId="0" applyNumberFormat="1" applyFont="1" applyFill="1" applyBorder="1" applyAlignment="1">
      <x:alignment horizontal="center" vertical="center" wrapText="1"/>
    </x:xf>
    <x:xf numFmtId="0" fontId="11" fillId="207" borderId="0" xfId="0" applyNumberFormat="1" applyFont="1" applyFill="1" applyBorder="1" applyAlignment="1">
      <x:alignment horizontal="center" vertical="top" wrapText="1"/>
    </x:xf>
    <x:xf numFmtId="204" fontId="11" fillId="207" borderId="0" xfId="0" applyNumberFormat="1" applyFont="1" applyFill="1" applyBorder="1" applyAlignment="1">
      <x:alignment horizontal="center" vertical="top" wrapText="1"/>
    </x:xf>
    <x:xf numFmtId="0" fontId="11" fillId="207" borderId="0" xfId="0" applyNumberFormat="1" applyFont="1" applyFill="1" applyBorder="1" applyAlignment="1">
      <x:alignment vertical="top" wrapText="1"/>
    </x:xf>
    <x:xf numFmtId="0" fontId="11" fillId="201" borderId="0" xfId="0" applyNumberFormat="1" applyFont="1" applyFill="1" applyBorder="1" applyAlignment="1">
      <x:alignment horizontal="center" vertical="top" wrapText="1"/>
    </x:xf>
    <x:xf numFmtId="204" fontId="11" fillId="201" borderId="0" xfId="0" applyNumberFormat="1" applyFont="1" applyFill="1" applyBorder="1" applyAlignment="1">
      <x:alignment horizontal="center" vertical="top" wrapText="1"/>
    </x:xf>
    <x:xf numFmtId="0" fontId="11" fillId="201" borderId="0" xfId="0" applyNumberFormat="1" applyFont="1" applyFill="1" applyBorder="1" applyAlignment="1">
      <x:alignment vertical="top" wrapText="1"/>
    </x:xf>
    <x:xf numFmtId="0" fontId="20" fillId="208" borderId="10" xfId="0" applyNumberFormat="1" applyFont="1" applyFill="1" applyBorder="1" applyAlignment="1">
      <x:alignment vertical="top" wrapText="1"/>
    </x:xf>
    <x:xf numFmtId="0" fontId="20" fillId="208" borderId="10" xfId="0" applyNumberFormat="1" applyFont="1" applyFill="1" applyBorder="1"/>
    <x:xf numFmtId="0" fontId="20" fillId="208" borderId="10" xfId="0" applyNumberFormat="1" applyFont="1" applyFill="1" applyBorder="1" applyAlignment="1">
      <x:alignment wrapText="1"/>
    </x:xf>
    <x:xf numFmtId="0" fontId="20" fillId="208" borderId="10" xfId="0" applyNumberFormat="1" applyFont="1" applyFill="1" applyBorder="1" applyAlignment="1">
      <x:alignment vertical="center" wrapText="1"/>
    </x:xf>
    <x:xf numFmtId="0" fontId="37" fillId="208" borderId="10" xfId="0" applyNumberFormat="1" applyFont="1" applyFill="1" applyBorder="1" applyAlignment="1">
      <x:alignment vertical="top" wrapText="1"/>
    </x:xf>
    <x:xf numFmtId="0" fontId="37" fillId="208" borderId="10" xfId="0" applyNumberFormat="1" applyFont="1" applyFill="1" applyBorder="1"/>
    <x:xf numFmtId="0" fontId="37" fillId="208" borderId="10" xfId="0" applyNumberFormat="1" applyFont="1" applyFill="1" applyBorder="1" applyAlignment="1">
      <x:alignment wrapText="1"/>
    </x:xf>
    <x:xf numFmtId="0" fontId="37" fillId="208" borderId="10" xfId="0" applyNumberFormat="1" applyFont="1" applyFill="1" applyBorder="1" applyAlignment="1">
      <x:alignment vertical="center" wrapText="1"/>
    </x:xf>
    <x:xf numFmtId="0" fontId="3" fillId="209" borderId="1" xfId="0" applyNumberFormat="1" applyFont="1" applyFill="1" applyBorder="1" applyAlignment="1">
      <x:alignment horizontal="center" vertical="center" wrapText="1"/>
    </x:xf>
    <x:xf numFmtId="0" fontId="10" fillId="210" borderId="15" xfId="0" applyNumberFormat="1" applyFont="1" applyFill="1" applyBorder="1" applyAlignment="1">
      <x:alignment horizontal="center" vertical="top" wrapText="1"/>
    </x:xf>
    <x:xf numFmtId="0" fontId="11" fillId="210" borderId="16" xfId="0" applyNumberFormat="1" applyFont="1" applyFill="1" applyBorder="1" applyAlignment="1">
      <x:alignment horizontal="center" vertical="top" wrapText="1"/>
    </x:xf>
    <x:xf numFmtId="201" fontId="11" fillId="210" borderId="16" xfId="0" applyNumberFormat="1" applyFont="1" applyFill="1" applyBorder="1" applyAlignment="1">
      <x:alignment horizontal="center" vertical="top" wrapText="1"/>
    </x:xf>
    <x:xf numFmtId="0" fontId="11" fillId="210" borderId="16" xfId="0" applyNumberFormat="1" applyFont="1" applyFill="1" applyBorder="1" applyAlignment="1">
      <x:alignment vertical="top" wrapText="1"/>
    </x:xf>
    <x:xf numFmtId="0" fontId="11" fillId="210" borderId="17" xfId="0" applyNumberFormat="1" applyFont="1" applyFill="1" applyBorder="1" applyAlignment="1">
      <x:alignment vertical="top" wrapText="1"/>
    </x:xf>
    <x:xf numFmtId="0" fontId="11" fillId="211" borderId="18" xfId="0" applyNumberFormat="1" applyFont="1" applyFill="1" applyBorder="1" applyAlignment="1">
      <x:alignment horizontal="center" vertical="top" wrapText="1"/>
    </x:xf>
    <x:xf numFmtId="0" fontId="11" fillId="211" borderId="19" xfId="0" applyNumberFormat="1" applyFont="1" applyFill="1" applyBorder="1" applyAlignment="1">
      <x:alignment horizontal="center" vertical="top" wrapText="1"/>
    </x:xf>
    <x:xf numFmtId="201" fontId="11" fillId="211" borderId="19" xfId="0" applyNumberFormat="1" applyFont="1" applyFill="1" applyBorder="1" applyAlignment="1">
      <x:alignment horizontal="center" vertical="top" wrapText="1"/>
    </x:xf>
    <x:xf numFmtId="0" fontId="11" fillId="211" borderId="19" xfId="0" applyNumberFormat="1" applyFont="1" applyFill="1" applyBorder="1" applyAlignment="1">
      <x:alignment vertical="top" wrapText="1"/>
    </x:xf>
    <x:xf numFmtId="0" fontId="11" fillId="211" borderId="20" xfId="0" applyNumberFormat="1" applyFont="1" applyFill="1" applyBorder="1" applyAlignment="1">
      <x:alignment vertical="top" wrapText="1"/>
    </x:xf>
    <x:xf numFmtId="0" fontId="10" fillId="210" borderId="18" xfId="0" applyNumberFormat="1" applyFont="1" applyFill="1" applyBorder="1" applyAlignment="1">
      <x:alignment horizontal="center" vertical="top" wrapText="1"/>
    </x:xf>
    <x:xf numFmtId="0" fontId="11" fillId="210" borderId="19" xfId="0" applyNumberFormat="1" applyFont="1" applyFill="1" applyBorder="1" applyAlignment="1">
      <x:alignment horizontal="center" vertical="top" wrapText="1"/>
    </x:xf>
    <x:xf numFmtId="201" fontId="11" fillId="210" borderId="19" xfId="0" applyNumberFormat="1" applyFont="1" applyFill="1" applyBorder="1" applyAlignment="1">
      <x:alignment horizontal="center" vertical="top" wrapText="1"/>
    </x:xf>
    <x:xf numFmtId="0" fontId="11" fillId="210" borderId="19" xfId="0" applyNumberFormat="1" applyFont="1" applyFill="1" applyBorder="1" applyAlignment="1">
      <x:alignment vertical="top" wrapText="1"/>
    </x:xf>
    <x:xf numFmtId="0" fontId="11" fillId="210" borderId="20" xfId="0" applyNumberFormat="1" applyFont="1" applyFill="1" applyBorder="1" applyAlignment="1">
      <x:alignment vertical="top" wrapText="1"/>
    </x:xf>
    <x:xf numFmtId="0" fontId="10" fillId="211" borderId="18" xfId="0" applyNumberFormat="1" applyFont="1" applyFill="1" applyBorder="1" applyAlignment="1">
      <x:alignment horizontal="center" vertical="top" wrapText="1"/>
    </x:xf>
    <x:xf numFmtId="0" fontId="11" fillId="210" borderId="18" xfId="0" applyNumberFormat="1" applyFont="1" applyFill="1" applyBorder="1" applyAlignment="1">
      <x:alignment horizontal="center" vertical="top" wrapText="1"/>
    </x:xf>
    <x:xf numFmtId="0" fontId="11" fillId="211" borderId="21" xfId="0" applyNumberFormat="1" applyFont="1" applyFill="1" applyBorder="1" applyAlignment="1">
      <x:alignment horizontal="center" vertical="top" wrapText="1"/>
    </x:xf>
    <x:xf numFmtId="0" fontId="11" fillId="211" borderId="22" xfId="0" applyNumberFormat="1" applyFont="1" applyFill="1" applyBorder="1" applyAlignment="1">
      <x:alignment horizontal="center" vertical="top" wrapText="1"/>
    </x:xf>
    <x:xf numFmtId="201" fontId="11" fillId="211" borderId="22" xfId="0" applyNumberFormat="1" applyFont="1" applyFill="1" applyBorder="1" applyAlignment="1">
      <x:alignment horizontal="center" vertical="top" wrapText="1"/>
    </x:xf>
    <x:xf numFmtId="0" fontId="11" fillId="211" borderId="22" xfId="0" applyNumberFormat="1" applyFont="1" applyFill="1" applyBorder="1" applyAlignment="1">
      <x:alignment vertical="top" wrapText="1"/>
    </x:xf>
    <x:xf numFmtId="0" fontId="11" fillId="211" borderId="23" xfId="0" applyNumberFormat="1" applyFont="1" applyFill="1" applyBorder="1" applyAlignment="1">
      <x:alignment vertical="top" wrapText="1"/>
    </x:xf>
    <x:xf numFmtId="0" fontId="11" fillId="212" borderId="15" xfId="0" applyNumberFormat="1" applyFont="1" applyFill="1" applyBorder="1" applyAlignment="1">
      <x:alignment horizontal="center" vertical="top" wrapText="1"/>
    </x:xf>
    <x:xf numFmtId="201" fontId="11" fillId="212" borderId="16" xfId="0" applyNumberFormat="1" applyFont="1" applyFill="1" applyBorder="1" applyAlignment="1">
      <x:alignment horizontal="center" vertical="top" wrapText="1"/>
    </x:xf>
    <x:xf numFmtId="0" fontId="11" fillId="212" borderId="16" xfId="0" applyNumberFormat="1" applyFont="1" applyFill="1" applyBorder="1" applyAlignment="1">
      <x:alignment horizontal="center" vertical="top" wrapText="1"/>
    </x:xf>
    <x:xf numFmtId="0" fontId="11" fillId="212" borderId="16" xfId="0" applyNumberFormat="1" applyFont="1" applyFill="1" applyBorder="1" applyAlignment="1">
      <x:alignment vertical="top" wrapText="1"/>
    </x:xf>
    <x:xf numFmtId="0" fontId="11" fillId="212" borderId="17" xfId="0" applyNumberFormat="1" applyFont="1" applyFill="1" applyBorder="1" applyAlignment="1">
      <x:alignment horizontal="center" vertical="top" wrapText="1"/>
    </x:xf>
    <x:xf numFmtId="0" fontId="11" fillId="210" borderId="15" xfId="0" applyNumberFormat="1" applyFont="1" applyFill="1" applyBorder="1" applyAlignment="1">
      <x:alignment horizontal="center" vertical="top" wrapText="1"/>
    </x:xf>
    <x:xf numFmtId="0" fontId="11" fillId="213" borderId="15" xfId="0" applyNumberFormat="1" applyFont="1" applyFill="1" applyBorder="1" applyAlignment="1">
      <x:alignment horizontal="center" vertical="top" wrapText="1"/>
    </x:xf>
    <x:xf numFmtId="0" fontId="11" fillId="213" borderId="16" xfId="0" applyNumberFormat="1" applyFont="1" applyFill="1" applyBorder="1" applyAlignment="1">
      <x:alignment horizontal="center" vertical="top" wrapText="1"/>
    </x:xf>
    <x:xf numFmtId="0" fontId="11" fillId="213" borderId="16" xfId="0" applyNumberFormat="1" applyFont="1" applyFill="1" applyBorder="1" applyAlignment="1">
      <x:alignment vertical="top" wrapText="1"/>
    </x:xf>
    <x:xf numFmtId="0" fontId="11" fillId="213" borderId="17" xfId="0" applyNumberFormat="1" applyFont="1" applyFill="1" applyBorder="1" applyAlignment="1">
      <x:alignment vertical="top" wrapText="1"/>
    </x:xf>
    <x:xf numFmtId="0" fontId="11" fillId="213" borderId="18" xfId="0" applyNumberFormat="1" applyFont="1" applyFill="1" applyBorder="1" applyAlignment="1">
      <x:alignment horizontal="center" vertical="top" wrapText="1"/>
    </x:xf>
    <x:xf numFmtId="0" fontId="11" fillId="213" borderId="19" xfId="0" applyNumberFormat="1" applyFont="1" applyFill="1" applyBorder="1" applyAlignment="1">
      <x:alignment horizontal="center" vertical="top" wrapText="1"/>
    </x:xf>
    <x:xf numFmtId="0" fontId="11" fillId="213" borderId="19" xfId="0" applyNumberFormat="1" applyFont="1" applyFill="1" applyBorder="1" applyAlignment="1">
      <x:alignment vertical="top" wrapText="1"/>
    </x:xf>
    <x:xf numFmtId="0" fontId="11" fillId="213" borderId="20" xfId="0" applyNumberFormat="1" applyFont="1" applyFill="1" applyBorder="1" applyAlignment="1">
      <x:alignment vertical="top" wrapText="1"/>
    </x:xf>
    <x:xf numFmtId="200" fontId="11" fillId="210" borderId="16" xfId="0" applyNumberFormat="1" applyFont="1" applyFill="1" applyBorder="1" applyAlignment="1">
      <x:alignment horizontal="center" vertical="top" wrapText="1"/>
    </x:xf>
    <x:xf numFmtId="200" fontId="11" fillId="211" borderId="19" xfId="0" applyNumberFormat="1" applyFont="1" applyFill="1" applyBorder="1" applyAlignment="1">
      <x:alignment horizontal="center" vertical="top" wrapText="1"/>
    </x:xf>
    <x:xf numFmtId="200" fontId="11" fillId="210" borderId="19" xfId="0" applyNumberFormat="1" applyFont="1" applyFill="1" applyBorder="1" applyAlignment="1">
      <x:alignment horizontal="center" vertical="top" wrapText="1"/>
    </x:xf>
    <x:xf numFmtId="0" fontId="1" fillId="214" borderId="0" xfId="0" applyNumberFormat="1" applyFont="1" applyFill="1" applyBorder="1" applyAlignment="1">
      <x:alignment horizontal="left" vertical="center"/>
    </x:xf>
    <x:xf numFmtId="0" fontId="14" fillId="210" borderId="11" xfId="0" applyNumberFormat="1" applyFont="1" applyFill="1" applyBorder="1" applyAlignment="1">
      <x:alignment vertical="center" wrapText="1"/>
    </x:xf>
    <x:xf numFmtId="202" fontId="13" fillId="210" borderId="11" xfId="0" applyNumberFormat="1" applyFont="1" applyFill="1" applyBorder="1" applyAlignment="1">
      <x:alignment vertical="center" wrapText="1"/>
    </x:xf>
    <x:xf numFmtId="0" fontId="13" fillId="210" borderId="11" xfId="0" applyNumberFormat="1" applyFont="1" applyFill="1" applyBorder="1" applyAlignment="1">
      <x:alignment vertical="center" wrapText="1"/>
    </x:xf>
    <x:xf numFmtId="0" fontId="15" fillId="215" borderId="0" xfId="0" applyNumberFormat="1" applyFont="1" applyFill="1" applyBorder="1" applyAlignment="1">
      <x:alignment vertical="center" wrapText="1"/>
    </x:xf>
    <x:xf numFmtId="0" fontId="16" fillId="210" borderId="11" xfId="0" applyNumberFormat="1" applyFont="1" applyFill="1" applyBorder="1" applyAlignment="1">
      <x:alignment horizontal="center" vertical="center"/>
    </x:xf>
    <x:xf numFmtId="0" fontId="16" fillId="211" borderId="11" xfId="0" applyNumberFormat="1" applyFont="1" applyFill="1" applyBorder="1" applyAlignment="1">
      <x:alignment horizontal="center" vertical="center"/>
    </x:xf>
    <x:xf numFmtId="203" fontId="16" fillId="211" borderId="11" xfId="0" applyNumberFormat="1" applyFont="1" applyFill="1" applyBorder="1" applyAlignment="1">
      <x:alignment horizontal="center" vertical="center"/>
    </x:xf>
    <x:xf numFmtId="0" fontId="17" fillId="216" borderId="12" xfId="0" applyNumberFormat="1" applyFont="1" applyFill="1" applyBorder="1" applyAlignment="1">
      <x:alignment vertical="center" wrapText="1"/>
    </x:xf>
    <x:xf numFmtId="0" fontId="18" fillId="217" borderId="13" xfId="0" applyNumberFormat="1" applyFont="1" applyFill="1" applyBorder="1" applyAlignment="1">
      <x:alignment horizontal="center" vertical="center" wrapText="1"/>
    </x:xf>
    <x:xf numFmtId="0" fontId="11" fillId="218" borderId="14" xfId="0" applyNumberFormat="1" applyFont="1" applyFill="1" applyBorder="1" applyAlignment="1">
      <x:alignment vertical="top" wrapText="1"/>
    </x:xf>
    <x:xf numFmtId="204" fontId="11" fillId="218" borderId="14" xfId="0" applyNumberFormat="1" applyFont="1" applyFill="1" applyBorder="1" applyAlignment="1">
      <x:alignment vertical="top" wrapText="1"/>
    </x:xf>
    <x:xf numFmtId="0" fontId="11" fillId="218" borderId="14" xfId="0" applyNumberFormat="1" applyFont="1" applyFill="1" applyBorder="1" applyAlignment="1">
      <x:alignment horizontal="center" vertical="top" wrapText="1"/>
    </x:xf>
    <x:xf numFmtId="0" fontId="11" fillId="211" borderId="14" xfId="0" applyNumberFormat="1" applyFont="1" applyFill="1" applyBorder="1" applyAlignment="1">
      <x:alignment vertical="top" wrapText="1"/>
    </x:xf>
    <x:xf numFmtId="204" fontId="11" fillId="211" borderId="14" xfId="0" applyNumberFormat="1" applyFont="1" applyFill="1" applyBorder="1" applyAlignment="1">
      <x:alignment vertical="top" wrapText="1"/>
    </x:xf>
    <x:xf numFmtId="0" fontId="11" fillId="211" borderId="14" xfId="0" applyNumberFormat="1" applyFont="1" applyFill="1" applyBorder="1" applyAlignment="1">
      <x:alignment horizontal="center" vertical="top" wrapText="1"/>
    </x:xf>
    <x:xf numFmtId="0" fontId="1" fillId="214" borderId="0" xfId="0" applyNumberFormat="1" applyFont="1" applyFill="1" applyBorder="1" applyAlignment="1">
      <x:alignment vertical="center"/>
    </x:xf>
    <x:xf numFmtId="0" fontId="13" fillId="210" borderId="0" xfId="0" applyNumberFormat="1" applyFont="1" applyFill="1" applyBorder="1" applyAlignment="1">
      <x:alignment vertical="center" wrapText="1"/>
    </x:xf>
    <x:xf numFmtId="0" fontId="3" fillId="209" borderId="0" xfId="0" applyNumberFormat="1" applyFont="1" applyFill="1" applyBorder="1" applyAlignment="1">
      <x:alignment horizontal="center" vertical="center" wrapText="1"/>
    </x:xf>
    <x:xf numFmtId="0" fontId="11" fillId="218" borderId="0" xfId="0" applyNumberFormat="1" applyFont="1" applyFill="1" applyBorder="1" applyAlignment="1">
      <x:alignment horizontal="center" vertical="top" wrapText="1"/>
    </x:xf>
    <x:xf numFmtId="204" fontId="11" fillId="218" borderId="0" xfId="0" applyNumberFormat="1" applyFont="1" applyFill="1" applyBorder="1" applyAlignment="1">
      <x:alignment horizontal="center" vertical="top" wrapText="1"/>
    </x:xf>
    <x:xf numFmtId="0" fontId="11" fillId="218" borderId="0" xfId="0" applyNumberFormat="1" applyFont="1" applyFill="1" applyBorder="1" applyAlignment="1">
      <x:alignment vertical="top" wrapText="1"/>
    </x:xf>
    <x:xf numFmtId="0" fontId="11" fillId="211" borderId="0" xfId="0" applyNumberFormat="1" applyFont="1" applyFill="1" applyBorder="1" applyAlignment="1">
      <x:alignment horizontal="center" vertical="top" wrapText="1"/>
    </x:xf>
    <x:xf numFmtId="204" fontId="11" fillId="211" borderId="0" xfId="0" applyNumberFormat="1" applyFont="1" applyFill="1" applyBorder="1" applyAlignment="1">
      <x:alignment horizontal="center" vertical="top" wrapText="1"/>
    </x:xf>
    <x:xf numFmtId="0" fontId="11" fillId="211" borderId="0" xfId="0" applyNumberFormat="1" applyFont="1" applyFill="1" applyBorder="1" applyAlignment="1">
      <x:alignment vertical="top" wrapText="1"/>
    </x:xf>
    <x:xf numFmtId="204" fontId="11" fillId="218" borderId="0" xfId="0" applyNumberFormat="1" applyFont="1" applyFill="1" applyBorder="1" applyAlignment="1">
      <x:alignment vertical="top" wrapText="1"/>
    </x:xf>
    <x:xf numFmtId="204" fontId="11" fillId="211" borderId="0" xfId="0" applyNumberFormat="1" applyFont="1" applyFill="1" applyBorder="1" applyAlignment="1">
      <x:alignment vertical="top" wrapText="1"/>
    </x:xf>
    <x:xf numFmtId="0" fontId="20" fillId="219" borderId="10" xfId="0" applyNumberFormat="1" applyFont="1" applyFill="1" applyBorder="1" applyAlignment="1">
      <x:alignment vertical="top" wrapText="1"/>
    </x:xf>
    <x:xf numFmtId="0" fontId="20" fillId="219" borderId="10" xfId="0" applyNumberFormat="1" applyFont="1" applyFill="1" applyBorder="1"/>
    <x:xf numFmtId="0" fontId="20" fillId="219" borderId="10" xfId="0" applyNumberFormat="1" applyFont="1" applyFill="1" applyBorder="1" applyAlignment="1">
      <x:alignment wrapText="1"/>
    </x:xf>
    <x:xf numFmtId="0" fontId="20" fillId="219" borderId="10" xfId="0" applyNumberFormat="1" applyFont="1" applyFill="1" applyBorder="1" applyAlignment="1">
      <x:alignment vertical="center" wrapText="1"/>
    </x:xf>
    <x:xf numFmtId="0" fontId="38" fillId="219" borderId="10" xfId="0" applyNumberFormat="1" applyFont="1" applyFill="1" applyBorder="1" applyAlignment="1">
      <x:alignment vertical="top" wrapText="1"/>
    </x:xf>
    <x:xf numFmtId="0" fontId="38" fillId="219" borderId="10" xfId="0" applyNumberFormat="1" applyFont="1" applyFill="1" applyBorder="1"/>
    <x:xf numFmtId="0" fontId="38" fillId="219" borderId="10" xfId="0" applyNumberFormat="1" applyFont="1" applyFill="1" applyBorder="1" applyAlignment="1">
      <x:alignment wrapText="1"/>
    </x:xf>
    <x:xf numFmtId="0" fontId="38" fillId="219" borderId="10" xfId="0" applyNumberFormat="1" applyFont="1" applyFill="1" applyBorder="1" applyAlignment="1">
      <x:alignment vertical="center" wrapText="1"/>
    </x:xf>
    <x:xf numFmtId="0" fontId="3" fillId="220" borderId="1" xfId="0" applyNumberFormat="1" applyFont="1" applyFill="1" applyBorder="1" applyAlignment="1">
      <x:alignment horizontal="center" vertical="center" wrapText="1"/>
    </x:xf>
    <x:xf numFmtId="0" fontId="10" fillId="221" borderId="15" xfId="0" applyNumberFormat="1" applyFont="1" applyFill="1" applyBorder="1" applyAlignment="1">
      <x:alignment horizontal="center" vertical="top" wrapText="1"/>
    </x:xf>
    <x:xf numFmtId="0" fontId="11" fillId="221" borderId="16" xfId="0" applyNumberFormat="1" applyFont="1" applyFill="1" applyBorder="1" applyAlignment="1">
      <x:alignment horizontal="center" vertical="top" wrapText="1"/>
    </x:xf>
    <x:xf numFmtId="201" fontId="11" fillId="221" borderId="16" xfId="0" applyNumberFormat="1" applyFont="1" applyFill="1" applyBorder="1" applyAlignment="1">
      <x:alignment horizontal="center" vertical="top" wrapText="1"/>
    </x:xf>
    <x:xf numFmtId="0" fontId="11" fillId="221" borderId="16" xfId="0" applyNumberFormat="1" applyFont="1" applyFill="1" applyBorder="1" applyAlignment="1">
      <x:alignment vertical="top" wrapText="1"/>
    </x:xf>
    <x:xf numFmtId="0" fontId="11" fillId="221" borderId="17" xfId="0" applyNumberFormat="1" applyFont="1" applyFill="1" applyBorder="1" applyAlignment="1">
      <x:alignment vertical="top" wrapText="1"/>
    </x:xf>
    <x:xf numFmtId="0" fontId="11" fillId="222" borderId="18" xfId="0" applyNumberFormat="1" applyFont="1" applyFill="1" applyBorder="1" applyAlignment="1">
      <x:alignment horizontal="center" vertical="top" wrapText="1"/>
    </x:xf>
    <x:xf numFmtId="0" fontId="11" fillId="222" borderId="19" xfId="0" applyNumberFormat="1" applyFont="1" applyFill="1" applyBorder="1" applyAlignment="1">
      <x:alignment horizontal="center" vertical="top" wrapText="1"/>
    </x:xf>
    <x:xf numFmtId="201" fontId="11" fillId="222" borderId="19" xfId="0" applyNumberFormat="1" applyFont="1" applyFill="1" applyBorder="1" applyAlignment="1">
      <x:alignment horizontal="center" vertical="top" wrapText="1"/>
    </x:xf>
    <x:xf numFmtId="0" fontId="11" fillId="222" borderId="19" xfId="0" applyNumberFormat="1" applyFont="1" applyFill="1" applyBorder="1" applyAlignment="1">
      <x:alignment vertical="top" wrapText="1"/>
    </x:xf>
    <x:xf numFmtId="0" fontId="11" fillId="222" borderId="20" xfId="0" applyNumberFormat="1" applyFont="1" applyFill="1" applyBorder="1" applyAlignment="1">
      <x:alignment vertical="top" wrapText="1"/>
    </x:xf>
    <x:xf numFmtId="0" fontId="10" fillId="221" borderId="18" xfId="0" applyNumberFormat="1" applyFont="1" applyFill="1" applyBorder="1" applyAlignment="1">
      <x:alignment horizontal="center" vertical="top" wrapText="1"/>
    </x:xf>
    <x:xf numFmtId="0" fontId="11" fillId="221" borderId="19" xfId="0" applyNumberFormat="1" applyFont="1" applyFill="1" applyBorder="1" applyAlignment="1">
      <x:alignment horizontal="center" vertical="top" wrapText="1"/>
    </x:xf>
    <x:xf numFmtId="201" fontId="11" fillId="221" borderId="19" xfId="0" applyNumberFormat="1" applyFont="1" applyFill="1" applyBorder="1" applyAlignment="1">
      <x:alignment horizontal="center" vertical="top" wrapText="1"/>
    </x:xf>
    <x:xf numFmtId="0" fontId="11" fillId="221" borderId="19" xfId="0" applyNumberFormat="1" applyFont="1" applyFill="1" applyBorder="1" applyAlignment="1">
      <x:alignment vertical="top" wrapText="1"/>
    </x:xf>
    <x:xf numFmtId="0" fontId="11" fillId="221" borderId="20" xfId="0" applyNumberFormat="1" applyFont="1" applyFill="1" applyBorder="1" applyAlignment="1">
      <x:alignment vertical="top" wrapText="1"/>
    </x:xf>
    <x:xf numFmtId="0" fontId="10" fillId="222" borderId="18" xfId="0" applyNumberFormat="1" applyFont="1" applyFill="1" applyBorder="1" applyAlignment="1">
      <x:alignment horizontal="center" vertical="top" wrapText="1"/>
    </x:xf>
    <x:xf numFmtId="0" fontId="11" fillId="221" borderId="18" xfId="0" applyNumberFormat="1" applyFont="1" applyFill="1" applyBorder="1" applyAlignment="1">
      <x:alignment horizontal="center" vertical="top" wrapText="1"/>
    </x:xf>
    <x:xf numFmtId="0" fontId="11" fillId="222" borderId="21" xfId="0" applyNumberFormat="1" applyFont="1" applyFill="1" applyBorder="1" applyAlignment="1">
      <x:alignment horizontal="center" vertical="top" wrapText="1"/>
    </x:xf>
    <x:xf numFmtId="0" fontId="11" fillId="222" borderId="22" xfId="0" applyNumberFormat="1" applyFont="1" applyFill="1" applyBorder="1" applyAlignment="1">
      <x:alignment horizontal="center" vertical="top" wrapText="1"/>
    </x:xf>
    <x:xf numFmtId="201" fontId="11" fillId="222" borderId="22" xfId="0" applyNumberFormat="1" applyFont="1" applyFill="1" applyBorder="1" applyAlignment="1">
      <x:alignment horizontal="center" vertical="top" wrapText="1"/>
    </x:xf>
    <x:xf numFmtId="0" fontId="11" fillId="222" borderId="22" xfId="0" applyNumberFormat="1" applyFont="1" applyFill="1" applyBorder="1" applyAlignment="1">
      <x:alignment vertical="top" wrapText="1"/>
    </x:xf>
    <x:xf numFmtId="0" fontId="11" fillId="222" borderId="23" xfId="0" applyNumberFormat="1" applyFont="1" applyFill="1" applyBorder="1" applyAlignment="1">
      <x:alignment vertical="top" wrapText="1"/>
    </x:xf>
    <x:xf numFmtId="0" fontId="11" fillId="221" borderId="0" xfId="0" applyNumberFormat="1" applyFont="1" applyFill="1" applyBorder="1" applyAlignment="1">
      <x:alignment horizontal="center" vertical="top" wrapText="1"/>
    </x:xf>
    <x:xf numFmtId="201" fontId="11" fillId="221" borderId="0" xfId="0" applyNumberFormat="1" applyFont="1" applyFill="1" applyBorder="1" applyAlignment="1">
      <x:alignment horizontal="center" vertical="top" wrapText="1"/>
    </x:xf>
    <x:xf numFmtId="0" fontId="11" fillId="221" borderId="0" xfId="0" applyNumberFormat="1" applyFont="1" applyFill="1" applyBorder="1" applyAlignment="1">
      <x:alignment vertical="top" wrapText="1"/>
    </x:xf>
    <x:xf numFmtId="0" fontId="11" fillId="222" borderId="0" xfId="0" applyNumberFormat="1" applyFont="1" applyFill="1" applyBorder="1" applyAlignment="1">
      <x:alignment horizontal="center" vertical="top" wrapText="1"/>
    </x:xf>
    <x:xf numFmtId="201" fontId="11" fillId="222" borderId="0" xfId="0" applyNumberFormat="1" applyFont="1" applyFill="1" applyBorder="1" applyAlignment="1">
      <x:alignment horizontal="center" vertical="top" wrapText="1"/>
    </x:xf>
    <x:xf numFmtId="0" fontId="11" fillId="222" borderId="0" xfId="0" applyNumberFormat="1" applyFont="1" applyFill="1" applyBorder="1" applyAlignment="1">
      <x:alignment vertical="top" wrapText="1"/>
    </x:xf>
    <x:xf numFmtId="0" fontId="11" fillId="223" borderId="15" xfId="0" applyNumberFormat="1" applyFont="1" applyFill="1" applyBorder="1" applyAlignment="1">
      <x:alignment horizontal="center" vertical="top" wrapText="1"/>
    </x:xf>
    <x:xf numFmtId="201" fontId="11" fillId="223" borderId="16" xfId="0" applyNumberFormat="1" applyFont="1" applyFill="1" applyBorder="1" applyAlignment="1">
      <x:alignment horizontal="center" vertical="top" wrapText="1"/>
    </x:xf>
    <x:xf numFmtId="0" fontId="11" fillId="223" borderId="16" xfId="0" applyNumberFormat="1" applyFont="1" applyFill="1" applyBorder="1" applyAlignment="1">
      <x:alignment horizontal="center" vertical="top" wrapText="1"/>
    </x:xf>
    <x:xf numFmtId="0" fontId="11" fillId="223" borderId="16" xfId="0" applyNumberFormat="1" applyFont="1" applyFill="1" applyBorder="1" applyAlignment="1">
      <x:alignment vertical="top" wrapText="1"/>
    </x:xf>
    <x:xf numFmtId="0" fontId="11" fillId="223" borderId="17" xfId="0" applyNumberFormat="1" applyFont="1" applyFill="1" applyBorder="1" applyAlignment="1">
      <x:alignment horizontal="center" vertical="top" wrapText="1"/>
    </x:xf>
    <x:xf numFmtId="0" fontId="11" fillId="223" borderId="0" xfId="0" applyNumberFormat="1" applyFont="1" applyFill="1" applyBorder="1" applyAlignment="1">
      <x:alignment horizontal="center" vertical="top" wrapText="1"/>
    </x:xf>
    <x:xf numFmtId="201" fontId="11" fillId="223" borderId="0" xfId="0" applyNumberFormat="1" applyFont="1" applyFill="1" applyBorder="1" applyAlignment="1">
      <x:alignment horizontal="center" vertical="top" wrapText="1"/>
    </x:xf>
    <x:xf numFmtId="0" fontId="11" fillId="223" borderId="0" xfId="0" applyNumberFormat="1" applyFont="1" applyFill="1" applyBorder="1" applyAlignment="1">
      <x:alignment vertical="top" wrapText="1"/>
    </x:xf>
    <x:xf numFmtId="0" fontId="11" fillId="221" borderId="15" xfId="0" applyNumberFormat="1" applyFont="1" applyFill="1" applyBorder="1" applyAlignment="1">
      <x:alignment horizontal="center" vertical="top" wrapText="1"/>
    </x:xf>
    <x:xf numFmtId="0" fontId="11" fillId="224" borderId="15" xfId="0" applyNumberFormat="1" applyFont="1" applyFill="1" applyBorder="1" applyAlignment="1">
      <x:alignment horizontal="center" vertical="top" wrapText="1"/>
    </x:xf>
    <x:xf numFmtId="0" fontId="11" fillId="224" borderId="16" xfId="0" applyNumberFormat="1" applyFont="1" applyFill="1" applyBorder="1" applyAlignment="1">
      <x:alignment horizontal="center" vertical="top" wrapText="1"/>
    </x:xf>
    <x:xf numFmtId="0" fontId="11" fillId="224" borderId="16" xfId="0" applyNumberFormat="1" applyFont="1" applyFill="1" applyBorder="1" applyAlignment="1">
      <x:alignment vertical="top" wrapText="1"/>
    </x:xf>
    <x:xf numFmtId="0" fontId="11" fillId="224" borderId="17" xfId="0" applyNumberFormat="1" applyFont="1" applyFill="1" applyBorder="1" applyAlignment="1">
      <x:alignment vertical="top" wrapText="1"/>
    </x:xf>
    <x:xf numFmtId="0" fontId="11" fillId="224" borderId="18" xfId="0" applyNumberFormat="1" applyFont="1" applyFill="1" applyBorder="1" applyAlignment="1">
      <x:alignment horizontal="center" vertical="top" wrapText="1"/>
    </x:xf>
    <x:xf numFmtId="0" fontId="11" fillId="224" borderId="19" xfId="0" applyNumberFormat="1" applyFont="1" applyFill="1" applyBorder="1" applyAlignment="1">
      <x:alignment horizontal="center" vertical="top" wrapText="1"/>
    </x:xf>
    <x:xf numFmtId="0" fontId="11" fillId="224" borderId="19" xfId="0" applyNumberFormat="1" applyFont="1" applyFill="1" applyBorder="1" applyAlignment="1">
      <x:alignment vertical="top" wrapText="1"/>
    </x:xf>
    <x:xf numFmtId="0" fontId="11" fillId="224" borderId="20" xfId="0" applyNumberFormat="1" applyFont="1" applyFill="1" applyBorder="1" applyAlignment="1">
      <x:alignment vertical="top" wrapText="1"/>
    </x:xf>
    <x:xf numFmtId="0" fontId="11" fillId="224" borderId="0" xfId="0" applyNumberFormat="1" applyFont="1" applyFill="1" applyBorder="1" applyAlignment="1">
      <x:alignment horizontal="center" vertical="top" wrapText="1"/>
    </x:xf>
    <x:xf numFmtId="0" fontId="11" fillId="224" borderId="0" xfId="0" applyNumberFormat="1" applyFont="1" applyFill="1" applyBorder="1" applyAlignment="1">
      <x:alignment vertical="top" wrapText="1"/>
    </x:xf>
    <x:xf numFmtId="200" fontId="11" fillId="221" borderId="16" xfId="0" applyNumberFormat="1" applyFont="1" applyFill="1" applyBorder="1" applyAlignment="1">
      <x:alignment horizontal="center" vertical="top" wrapText="1"/>
    </x:xf>
    <x:xf numFmtId="200" fontId="11" fillId="222" borderId="19" xfId="0" applyNumberFormat="1" applyFont="1" applyFill="1" applyBorder="1" applyAlignment="1">
      <x:alignment horizontal="center" vertical="top" wrapText="1"/>
    </x:xf>
    <x:xf numFmtId="200" fontId="11" fillId="221" borderId="19" xfId="0" applyNumberFormat="1" applyFont="1" applyFill="1" applyBorder="1" applyAlignment="1">
      <x:alignment horizontal="center" vertical="top" wrapText="1"/>
    </x:xf>
    <x:xf numFmtId="0" fontId="1" fillId="225" borderId="0" xfId="0" applyNumberFormat="1" applyFont="1" applyFill="1" applyBorder="1" applyAlignment="1">
      <x:alignment horizontal="left" vertical="center"/>
    </x:xf>
    <x:xf numFmtId="0" fontId="14" fillId="221" borderId="11" xfId="0" applyNumberFormat="1" applyFont="1" applyFill="1" applyBorder="1" applyAlignment="1">
      <x:alignment vertical="center" wrapText="1"/>
    </x:xf>
    <x:xf numFmtId="202" fontId="13" fillId="221" borderId="11" xfId="0" applyNumberFormat="1" applyFont="1" applyFill="1" applyBorder="1" applyAlignment="1">
      <x:alignment vertical="center" wrapText="1"/>
    </x:xf>
    <x:xf numFmtId="0" fontId="13" fillId="221" borderId="11" xfId="0" applyNumberFormat="1" applyFont="1" applyFill="1" applyBorder="1" applyAlignment="1">
      <x:alignment vertical="center" wrapText="1"/>
    </x:xf>
    <x:xf numFmtId="0" fontId="15" fillId="226" borderId="0" xfId="0" applyNumberFormat="1" applyFont="1" applyFill="1" applyBorder="1" applyAlignment="1">
      <x:alignment vertical="center" wrapText="1"/>
    </x:xf>
    <x:xf numFmtId="0" fontId="16" fillId="221" borderId="11" xfId="0" applyNumberFormat="1" applyFont="1" applyFill="1" applyBorder="1" applyAlignment="1">
      <x:alignment horizontal="center" vertical="center"/>
    </x:xf>
    <x:xf numFmtId="0" fontId="16" fillId="222" borderId="11" xfId="0" applyNumberFormat="1" applyFont="1" applyFill="1" applyBorder="1" applyAlignment="1">
      <x:alignment horizontal="center" vertical="center"/>
    </x:xf>
    <x:xf numFmtId="203" fontId="16" fillId="222" borderId="11" xfId="0" applyNumberFormat="1" applyFont="1" applyFill="1" applyBorder="1" applyAlignment="1">
      <x:alignment horizontal="center" vertical="center"/>
    </x:xf>
    <x:xf numFmtId="0" fontId="17" fillId="227" borderId="12" xfId="0" applyNumberFormat="1" applyFont="1" applyFill="1" applyBorder="1" applyAlignment="1">
      <x:alignment vertical="center" wrapText="1"/>
    </x:xf>
    <x:xf numFmtId="0" fontId="18" fillId="228" borderId="13" xfId="0" applyNumberFormat="1" applyFont="1" applyFill="1" applyBorder="1" applyAlignment="1">
      <x:alignment horizontal="center" vertical="center" wrapText="1"/>
    </x:xf>
    <x:xf numFmtId="0" fontId="11" fillId="229" borderId="14" xfId="0" applyNumberFormat="1" applyFont="1" applyFill="1" applyBorder="1" applyAlignment="1">
      <x:alignment vertical="top" wrapText="1"/>
    </x:xf>
    <x:xf numFmtId="204" fontId="11" fillId="229" borderId="14" xfId="0" applyNumberFormat="1" applyFont="1" applyFill="1" applyBorder="1" applyAlignment="1">
      <x:alignment vertical="top" wrapText="1"/>
    </x:xf>
    <x:xf numFmtId="0" fontId="11" fillId="229" borderId="14" xfId="0" applyNumberFormat="1" applyFont="1" applyFill="1" applyBorder="1" applyAlignment="1">
      <x:alignment horizontal="center" vertical="top" wrapText="1"/>
    </x:xf>
    <x:xf numFmtId="0" fontId="11" fillId="222" borderId="14" xfId="0" applyNumberFormat="1" applyFont="1" applyFill="1" applyBorder="1" applyAlignment="1">
      <x:alignment vertical="top" wrapText="1"/>
    </x:xf>
    <x:xf numFmtId="204" fontId="11" fillId="222" borderId="14" xfId="0" applyNumberFormat="1" applyFont="1" applyFill="1" applyBorder="1" applyAlignment="1">
      <x:alignment vertical="top" wrapText="1"/>
    </x:xf>
    <x:xf numFmtId="0" fontId="11" fillId="222" borderId="14" xfId="0" applyNumberFormat="1" applyFont="1" applyFill="1" applyBorder="1" applyAlignment="1">
      <x:alignment horizontal="center" vertical="top" wrapText="1"/>
    </x:xf>
    <x:xf numFmtId="0" fontId="0" fillId="229" borderId="0" xfId="0" applyNumberFormat="1" applyFont="1" applyFill="1" applyBorder="1"/>
    <x:xf numFmtId="204" fontId="0" fillId="229" borderId="0" xfId="0" applyNumberFormat="1" applyFont="1" applyFill="1" applyBorder="1"/>
    <x:xf numFmtId="0" fontId="0" fillId="222" borderId="0" xfId="0" applyNumberFormat="1" applyFont="1" applyFill="1" applyBorder="1"/>
    <x:xf numFmtId="204" fontId="0" fillId="222" borderId="0" xfId="0" applyNumberFormat="1" applyFont="1" applyFill="1" applyBorder="1"/>
    <x:xf numFmtId="0" fontId="0" fillId="229" borderId="0" xfId="0" applyNumberFormat="1" applyFont="1" applyFill="1" applyBorder="1" applyAlignment="1">
      <x:alignment wrapText="1"/>
    </x:xf>
    <x:xf numFmtId="204" fontId="0" fillId="229" borderId="0" xfId="0" applyNumberFormat="1" applyFont="1" applyFill="1" applyBorder="1" applyAlignment="1">
      <x:alignment wrapText="1"/>
    </x:xf>
    <x:xf numFmtId="0" fontId="0" fillId="222" borderId="0" xfId="0" applyNumberFormat="1" applyFont="1" applyFill="1" applyBorder="1" applyAlignment="1">
      <x:alignment wrapText="1"/>
    </x:xf>
    <x:xf numFmtId="204" fontId="0" fillId="222" borderId="0" xfId="0" applyNumberFormat="1" applyFont="1" applyFill="1" applyBorder="1" applyAlignment="1">
      <x:alignment wrapText="1"/>
    </x:xf>
    <x:xf numFmtId="0" fontId="0" fillId="229" borderId="0" xfId="0" applyNumberFormat="1" applyFont="1" applyFill="1" applyBorder="1" applyAlignment="1">
      <x:alignment vertical="top" wrapText="1"/>
    </x:xf>
    <x:xf numFmtId="204" fontId="0" fillId="229" borderId="0" xfId="0" applyNumberFormat="1" applyFont="1" applyFill="1" applyBorder="1" applyAlignment="1">
      <x:alignment vertical="top" wrapText="1"/>
    </x:xf>
    <x:xf numFmtId="0" fontId="0" fillId="222" borderId="0" xfId="0" applyNumberFormat="1" applyFont="1" applyFill="1" applyBorder="1" applyAlignment="1">
      <x:alignment vertical="top" wrapText="1"/>
    </x:xf>
    <x:xf numFmtId="204" fontId="0" fillId="222" borderId="0" xfId="0" applyNumberFormat="1" applyFont="1" applyFill="1" applyBorder="1" applyAlignment="1">
      <x:alignment vertical="top" wrapText="1"/>
    </x:xf>
    <x:xf numFmtId="0" fontId="11" fillId="229" borderId="0" xfId="0" applyNumberFormat="1" applyFont="1" applyFill="1" applyBorder="1" applyAlignment="1">
      <x:alignment vertical="top" wrapText="1"/>
    </x:xf>
    <x:xf numFmtId="204" fontId="11" fillId="229" borderId="0" xfId="0" applyNumberFormat="1" applyFont="1" applyFill="1" applyBorder="1" applyAlignment="1">
      <x:alignment vertical="top" wrapText="1"/>
    </x:xf>
    <x:xf numFmtId="204" fontId="11" fillId="222" borderId="0" xfId="0" applyNumberFormat="1" applyFont="1" applyFill="1" applyBorder="1" applyAlignment="1">
      <x:alignment vertical="top" wrapText="1"/>
    </x:xf>
    <x:xf numFmtId="0" fontId="11" fillId="229" borderId="0" xfId="0" applyNumberFormat="1" applyFont="1" applyFill="1" applyBorder="1" applyAlignment="1">
      <x:alignment horizontal="center" vertical="top" wrapText="1"/>
    </x:xf>
    <x:xf numFmtId="0" fontId="1" fillId="225" borderId="0" xfId="0" applyNumberFormat="1" applyFont="1" applyFill="1" applyBorder="1" applyAlignment="1">
      <x:alignment vertical="center"/>
    </x:xf>
    <x:xf numFmtId="0" fontId="13" fillId="221" borderId="0" xfId="0" applyNumberFormat="1" applyFont="1" applyFill="1" applyBorder="1" applyAlignment="1">
      <x:alignment vertical="center" wrapText="1"/>
    </x:xf>
    <x:xf numFmtId="0" fontId="3" fillId="220" borderId="0" xfId="0" applyNumberFormat="1" applyFont="1" applyFill="1" applyBorder="1" applyAlignment="1">
      <x:alignment horizontal="center" vertical="center" wrapText="1"/>
    </x:xf>
    <x:xf numFmtId="204" fontId="11" fillId="229" borderId="0" xfId="0" applyNumberFormat="1" applyFont="1" applyFill="1" applyBorder="1" applyAlignment="1">
      <x:alignment horizontal="center" vertical="top" wrapText="1"/>
    </x:xf>
    <x:xf numFmtId="204" fontId="11" fillId="222" borderId="0" xfId="0" applyNumberFormat="1" applyFont="1" applyFill="1" applyBorder="1" applyAlignment="1">
      <x:alignment horizontal="center" vertical="top" wrapText="1"/>
    </x:xf>
    <x:xf numFmtId="0" fontId="20" fillId="230" borderId="10" xfId="0" applyNumberFormat="1" applyFont="1" applyFill="1" applyBorder="1" applyAlignment="1">
      <x:alignment vertical="top" wrapText="1"/>
    </x:xf>
    <x:xf numFmtId="0" fontId="20" fillId="230" borderId="10" xfId="0" applyNumberFormat="1" applyFont="1" applyFill="1" applyBorder="1"/>
    <x:xf numFmtId="0" fontId="20" fillId="230" borderId="10" xfId="0" applyNumberFormat="1" applyFont="1" applyFill="1" applyBorder="1" applyAlignment="1">
      <x:alignment wrapText="1"/>
    </x:xf>
    <x:xf numFmtId="0" fontId="20" fillId="230" borderId="10" xfId="0" applyNumberFormat="1" applyFont="1" applyFill="1" applyBorder="1" applyAlignment="1">
      <x:alignment vertical="center" wrapText="1"/>
    </x:xf>
    <x:xf numFmtId="0" fontId="39" fillId="230" borderId="10" xfId="0" applyNumberFormat="1" applyFont="1" applyFill="1" applyBorder="1" applyAlignment="1">
      <x:alignment vertical="top" wrapText="1"/>
    </x:xf>
    <x:xf numFmtId="0" fontId="39" fillId="230" borderId="10" xfId="0" applyNumberFormat="1" applyFont="1" applyFill="1" applyBorder="1"/>
    <x:xf numFmtId="0" fontId="39" fillId="230" borderId="10" xfId="0" applyNumberFormat="1" applyFont="1" applyFill="1" applyBorder="1" applyAlignment="1">
      <x:alignment wrapText="1"/>
    </x:xf>
    <x:xf numFmtId="0" fontId="39" fillId="230" borderId="1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02"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BF9000"/>
      </x:font>
    </x:dxf>
    <x:dxf>
      <x:font>
        <x:b/>
        <x:color rgb="FF666666"/>
      </x:font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333333"/>
      </x:font>
      <x:fill>
        <x:patternFill patternType="solid">
          <x:bgColor rgb="FFFFC000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666666"/>
      </x:font>
      <x:fill>
        <x:patternFill patternType="solid"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beba62be734a4e" /><Relationship Type="http://schemas.openxmlformats.org/officeDocument/2006/relationships/theme" Target="/xl/theme/theme1.xml" Id="R358528e31f434846" /><Relationship Type="http://schemas.openxmlformats.org/officeDocument/2006/relationships/sharedStrings" Target="/xl/sharedStrings.xml" Id="R3f2e583e7d8e4233" /><Relationship Type="http://schemas.openxmlformats.org/officeDocument/2006/relationships/worksheet" Target="/xl/worksheets/sheet1.xml" Id="Ra17af6f8eb7143bc" /><Relationship Type="http://schemas.openxmlformats.org/officeDocument/2006/relationships/worksheet" Target="/xl/worksheets/sheet2.xml" Id="Rdbc9f46a0e1845bd" /><Relationship Type="http://schemas.openxmlformats.org/officeDocument/2006/relationships/worksheet" Target="/xl/worksheets/sheet3.xml" Id="R237dce27ec41487c" /><Relationship Type="http://schemas.openxmlformats.org/officeDocument/2006/relationships/worksheet" Target="/xl/worksheets/sheet4.xml" Id="Rfcac2a4ad85d45bd" /><Relationship Type="http://schemas.openxmlformats.org/officeDocument/2006/relationships/worksheet" Target="/xl/worksheets/sheet5.xml" Id="R02ce2d37778a4c09" /><Relationship Type="http://schemas.openxmlformats.org/officeDocument/2006/relationships/worksheet" Target="/xl/worksheets/sheet6.xml" Id="R2bafca7df64f4e7a" /><Relationship Type="http://schemas.openxmlformats.org/officeDocument/2006/relationships/worksheet" Target="/xl/worksheets/sheet7.xml" Id="R2dcf0478c514403d" /><Relationship Type="http://schemas.openxmlformats.org/officeDocument/2006/relationships/worksheet" Target="/xl/worksheets/sheet8.xml" Id="R2a2c9636fe504ab7" /><Relationship Type="http://schemas.openxmlformats.org/officeDocument/2006/relationships/worksheet" Target="/xl/worksheets/sheet9.xml" Id="R4d6178d44ac24e5b" /><Relationship Type="http://schemas.openxmlformats.org/officeDocument/2006/relationships/worksheet" Target="/xl/worksheets/sheet10.xml" Id="Rbda8b146c0c7400a" /><Relationship Type="http://schemas.openxmlformats.org/officeDocument/2006/relationships/worksheet" Target="/xl/worksheets/sheet11.xml" Id="R24838a79749f4092" /></Relationships>
</file>

<file path=xl/tables/table1.xml><?xml version="1.0" encoding="utf-8"?>
<x:table xmlns:x="http://schemas.openxmlformats.org/spreadsheetml/2006/main" id="183" name="OptimizationV3Table0825" displayName="OptimizationV3Table0825" ref="A4:P18" headerRowCount="1" totalsRowCount="0" totalsRowShown="0">
  <x:autoFilter ref="A4:P18"/>
  <x:tableColumns count="16">
    <x:tableColumn id="1" name="V3优先级"/>
    <x:tableColumn id="2" name="PR"/>
    <x:tableColumn id="3" name="合入日期"/>
    <x:tableColumn id="4" name="分类"/>
    <x:tableColumn id="5" name="优化点"/>
    <x:tableColumn id="6" name="Ascend价值"/>
    <x:tableColumn id="7" name="V3迁移策略"/>
    <x:tableColumn id="8" name="目标Ascend模块"/>
    <x:tableColumn id="9" name="Patch冲突"/>
    <x:tableColumn id="10" name="第一责任人"/>
    <x:tableColumn id="11" name="五类最终结论"/>
    <x:tableColumn id="12" name="结论差异"/>
    <x:tableColumn id="13" name="工作量"/>
    <x:tableColumn id="14" name="风险"/>
    <x:tableColumn id="15" name="关键文件"/>
    <x:tableColumn id="16" name="PR证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84" name="ActionV3Table0825" displayName="ActionV3Table0825" ref="A4:K5" headerRowCount="1" totalsRowCount="0" totalsRowShown="0">
  <x:autoFilter ref="A4:K5"/>
  <x:tableColumns count="11">
    <x:tableColumn id="1" name="优先级"/>
    <x:tableColumn id="2" name="PR"/>
    <x:tableColumn id="3" name="第一责任人"/>
    <x:tableColumn id="4" name="优化点"/>
    <x:tableColumn id="5" name="目标模块"/>
    <x:tableColumn id="6" name="迁移步骤"/>
    <x:tableColumn id="7" name="验证场景"/>
    <x:tableColumn id="8" name="V3结论"/>
    <x:tableColumn id="9" name="精确复核"/>
    <x:tableColumn id="10" name="结论差异"/>
    <x:tableColumn id="11" name="Review摘要"/>
  </x:tableColumns>
  <x:tableStyleInfo name="TableStyleMedium9" showFirstColumn="0" showLastColumn="0" showRowStripes="1" showColumnStripes="0"/>
</x:table>
</file>

<file path=xl/tables/table3.xml><?xml version="1.0" encoding="utf-8"?>
<x:table xmlns:x="http://schemas.openxmlformats.org/spreadsheetml/2006/main" id="185" name="SkipV3Table0825" displayName="SkipV3Table0825" ref="A4:H6" headerRowCount="1" totalsRowCount="0" totalsRowShown="0">
  <x:autoFilter ref="A4:H6"/>
  <x:tableColumns count="8">
    <x:tableColumn id="1" name="PR"/>
    <x:tableColumn id="2" name="合入日期"/>
    <x:tableColumn id="3" name="第一责任人"/>
    <x:tableColumn id="4" name="优化点"/>
    <x:tableColumn id="5" name="分类"/>
    <x:tableColumn id="6" name="跳过原因"/>
    <x:tableColumn id="7" name="可借鉴点"/>
    <x:tableColumn id="8" name="Review摘要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186" name="ExactReviewTable0825" displayName="ExactReviewTable0825" ref="A4:I18" headerRowCount="1" totalsRowCount="0" totalsRowShown="0">
  <x:autoFilter ref="A4:I18"/>
  <x:tableColumns count="9">
    <x:tableColumn id="1" name="PR"/>
    <x:tableColumn id="2" name="V3结论"/>
    <x:tableColumn id="3" name="架构候选/真实Patch键"/>
    <x:tableColumn id="4" name="目标模块"/>
    <x:tableColumn id="5" name="精确代码结论"/>
    <x:tableColumn id="6" name="精确原因"/>
    <x:tableColumn id="7" name="新增接口断点"/>
    <x:tableColumn id="8" name="V3判定依据摘要"/>
    <x:tableColumn id="9" name="最终执行口径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87" name="TestBenefitTable0825" displayName="TestBenefitTable0825" ref="A4:F18" headerRowCount="1" totalsRowCount="0" totalsRowShown="0">
  <x:autoFilter ref="A4:F18"/>
  <x:tableColumns count="6">
    <x:tableColumn id="1" name="PR"/>
    <x:tableColumn id="2" name="第一责任人"/>
    <x:tableColumn id="3" name="上游测试条件"/>
    <x:tableColumn id="4" name="PR可核验结果"/>
    <x:tableColumn id="5" name="NPU验证方案"/>
    <x:tableColumn id="6" name="关注KPI"/>
  </x:tableColumns>
  <x:tableStyleInfo name="TableStyleMedium7" showFirstColumn="0" showLastColumn="0" showRowStripes="1" showColumnStripes="0"/>
</x:table>
</file>

<file path=xl/tables/table6.xml><?xml version="1.0" encoding="utf-8"?>
<x:table xmlns:x="http://schemas.openxmlformats.org/spreadsheetml/2006/main" id="188" name="ReviewEvidenceTable0825" displayName="ReviewEvidenceTable0825" ref="A4:G18" headerRowCount="1" totalsRowCount="0" totalsRowShown="0">
  <x:autoFilter ref="A4:G18"/>
  <x:tableColumns count="7">
    <x:tableColumn id="1" name="PR"/>
    <x:tableColumn id="2" name="标题"/>
    <x:tableColumn id="3" name="Review正文数"/>
    <x:tableColumn id="4" name="行级评论数"/>
    <x:tableColumn id="5" name="Issue评论数"/>
    <x:tableColumn id="6" name="影响结论的Review摘要"/>
    <x:tableColumn id="7" name="原始证据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89" name="PipelineInfoTable0825" displayName="PipelineInfoTable0825" ref="A4:C32" headerRowCount="1" totalsRowCount="0" totalsRowShown="0">
  <x:autoFilter ref="A4:C32"/>
  <x:tableColumns count="3">
    <x:tableColumn id="1" name="项目"/>
    <x:tableColumn id="2" name="值"/>
    <x:tableColumn id="3" name="来源/说明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91" name="AllPRAnalysisTable0825" displayName="AllPRAnalysisTable0825" ref="A4:J56" headerRowCount="1" totalsRowCount="0" totalsRowShown="0">
  <x:autoFilter ref="A4:J56"/>
  <x:tableColumns count="10">
    <x:tableColumn id="1" name="PR"/>
    <x:tableColumn id="2" name="合入时间"/>
    <x:tableColumn id="3" name="PR标题"/>
    <x:tableColumn id="4" name="标签/类型"/>
    <x:tableColumn id="5" name="解决什么问题"/>
    <x:tableColumn id="6" name="解决方案"/>
    <x:tableColumn id="7" name="为什么这么修改"/>
    <x:tableColumn id="8" name="是否为Bugfix"/>
    <x:tableColumn id="9" name="关键文件"/>
    <x:tableColumn id="10" name="PR证据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90" name="FeatureInterfaceTable0827" displayName="FeatureInterfaceTable0827" ref="A4:P15" headerRowCount="1" totalsRowCount="0" totalsRowShown="0">
  <x:autoFilter ref="A4:P15"/>
  <x:tableColumns count="16">
    <x:tableColumn id="1" name="记录ID"/>
    <x:tableColumn id="2" name="PR"/>
    <x:tableColumn id="3" name="合入时间"/>
    <x:tableColumn id="4" name="标题"/>
    <x:tableColumn id="5" name="分类"/>
    <x:tableColumn id="6" name="解决的问题"/>
    <x:tableColumn id="7" name="上游方案"/>
    <x:tableColumn id="8" name="修改原因"/>
    <x:tableColumn id="9" name="关键文件"/>
    <x:tableColumn id="10" name="Ascend有效关系"/>
    <x:tableColumn id="11" name="Ascend结论"/>
    <x:tableColumn id="12" name="建议动作"/>
    <x:tableColumn id="13" name="优先级"/>
    <x:tableColumn id="14" name="状态"/>
    <x:tableColumn id="15" name="第一责任人"/>
    <x:tableColumn id="16" name="PR证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abbad7102f405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830375bcb4645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a065691ac0848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27fccdf84f348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01a4782e8554d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93da53029ed45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3cb230636d0437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eb40ceb91aa64b0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8e43a5990e046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0" hidden="0" customWidth="1"/>
    <x:col min="5" max="5" width="52" hidden="0" customWidth="1"/>
    <x:col min="6" max="6" width="12" hidden="0" customWidth="1"/>
    <x:col min="7" max="7" width="17" hidden="0" customWidth="1"/>
    <x:col min="8" max="8" width="20" hidden="0" customWidth="1"/>
    <x:col min="9" max="9" width="12" hidden="0" customWidth="1"/>
    <x:col min="10" max="10" width="14" hidden="0" customWidth="1"/>
    <x:col min="11" max="11" width="24" hidden="0" customWidth="1"/>
    <x:col min="12" max="12" width="18" hidden="0" customWidth="1"/>
    <x:col min="13" max="13" width="14" hidden="0" customWidth="1"/>
    <x:col min="14" max="14" width="18" hidden="0" customWidth="1"/>
    <x:col min="15" max="15" width="48" hidden="0" customWidth="1"/>
    <x:col min="16" max="16" width="30" hidden="0" customWidth="1"/>
  </x:cols>
  <x:sheetData>
    <x:row r="1" ht="30" customHeight="1">
      <x:c r="A1" s="4" t="str">
        <x:v>vLLM 上游优化分析｜main-lys V3｜成功水位至本次触发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4" customHeight="1">
      <x:c r="A2" s="8" t="str">
        <x:v>区间：[2026-09-21 01:02:04.840, 2026-09-22 01:00:58.960) Asia/Hong_Kong ｜ 全部合入PR 52条，优化14条 ｜ 流程：AI语义分析→main-lys V3归类→pinned源码精确复核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</x:row>
    <x:row r="4" ht="34" customHeight="1">
      <x:c r="A4" s="1828" t="str">
        <x:v>V3优先级</x:v>
      </x:c>
      <x:c r="B4" s="1828" t="str">
        <x:v>PR</x:v>
      </x:c>
      <x:c r="C4" s="1828" t="str">
        <x:v>合入日期</x:v>
      </x:c>
      <x:c r="D4" s="1828" t="str">
        <x:v>分类</x:v>
      </x:c>
      <x:c r="E4" s="1828" t="str">
        <x:v>优化点</x:v>
      </x:c>
      <x:c r="F4" s="1828" t="str">
        <x:v>Ascend价值</x:v>
      </x:c>
      <x:c r="G4" s="1828" t="str">
        <x:v>V3迁移策略</x:v>
      </x:c>
      <x:c r="H4" s="1828" t="str">
        <x:v>目标Ascend模块</x:v>
      </x:c>
      <x:c r="I4" s="1828" t="str">
        <x:v>Patch冲突</x:v>
      </x:c>
      <x:c r="J4" s="1828" t="str">
        <x:v>第一责任人</x:v>
      </x:c>
      <x:c r="K4" s="1828" t="str">
        <x:v>五类最终结论</x:v>
      </x:c>
      <x:c r="L4" s="1828" t="str">
        <x:v>结论差异</x:v>
      </x:c>
      <x:c r="M4" s="1828" t="str">
        <x:v>工作量</x:v>
      </x:c>
      <x:c r="N4" s="1828" t="str">
        <x:v>风险</x:v>
      </x:c>
      <x:c r="O4" s="1828" t="str">
        <x:v>关键文件</x:v>
      </x:c>
      <x:c r="P4" s="1828" t="str">
        <x:v>PR证据</x:v>
      </x:c>
    </x:row>
    <x:row r="5" ht="79.5" customHeight="1">
      <x:c r="A5" s="1829" t="str">
        <x:v>P2</x:v>
      </x:c>
      <x:c r="B5" s="1830" t="str">
        <x:v>#57603</x:v>
      </x:c>
      <x:c r="C5" s="1831" t="n">
        <x:v>46286</x:v>
      </x:c>
      <x:c r="D5" s="1830" t="str">
        <x:v>model-architecture</x:v>
      </x:c>
      <x:c r="E5" s="1830" t="str">
        <x:v>小batch mHC系数旁路流计算，与attention/FFN重叠</x:v>
      </x:c>
      <x:c r="F5" s="1830" t="str">
        <x:v>medium</x:v>
      </x:c>
      <x:c r="G5" s="1830" t="str">
        <x:v>idea-copy</x:v>
      </x:c>
      <x:c r="H5" s="1830" t="str">
        <x:v>csrc/aclnn_torch_adapter</x:v>
      </x:c>
      <x:c r="I5" s="1830" t="str">
        <x:v>否</x:v>
      </x:c>
      <x:c r="J5" s="1830" t="str">
        <x:v>曾彦嘉</x:v>
      </x:c>
      <x:c r="K5" s="1830" t="str">
        <x:v>平台差异可借鉴</x:v>
      </x:c>
      <x:c r="L5" s="1830" t="str">
        <x:v>无差异</x:v>
      </x:c>
      <x:c r="M5" s="1830" t="str">
        <x:v>M</x:v>
      </x:c>
      <x:c r="N5" s="1830" t="str">
        <x:v>medium-risk</x:v>
      </x:c>
      <x:c r="O5" s="1832" t="str">
        <x:v>vllm/model_executor/kernels/mhc/tilelang_kernels.py; vllm/model_executor/kernels/mhc/warmup.py; vllm/models/deepseek_v41/nvidia/model.py; vllm/models/deepseek_v41/nvidia/ops/mega_mhc.py; vllm/models/deepseek_v41/nvidia/ops/mhc.py</x:v>
      </x:c>
      <x:c r="P5" s="1833" t="str">
        <x:v>https://github.com/vllm-project/vllm/pull/57603</x:v>
      </x:c>
    </x:row>
    <x:row r="6" ht="70" customHeight="1">
      <x:c r="A6" s="1834" t="str">
        <x:v>skip</x:v>
      </x:c>
      <x:c r="B6" s="1835" t="str">
        <x:v>#57491</x:v>
      </x:c>
      <x:c r="C6" s="1836" t="n">
        <x:v>46286</x:v>
      </x:c>
      <x:c r="D6" s="1835" t="str">
        <x:v>kv-offload</x:v>
      </x:c>
      <x:c r="E6" s="1835" t="str">
        <x:v>ROCm Engram host offload释放显存以增加KV容量</x:v>
      </x:c>
      <x:c r="F6" s="1835" t="str">
        <x:v>none</x:v>
      </x:c>
      <x:c r="G6" s="1835" t="str">
        <x:v>skip</x:v>
      </x:c>
      <x:c r="H6" s="1835" t="str">
        <x:v>none</x:v>
      </x:c>
      <x:c r="I6" s="1835" t="str">
        <x:v>否</x:v>
      </x:c>
      <x:c r="J6" s="1835" t="str">
        <x:v>王小超</x:v>
      </x:c>
      <x:c r="K6" s="1835" t="str">
        <x:v>不可用</x:v>
      </x:c>
      <x:c r="L6" s="1835" t="str">
        <x:v>无差异</x:v>
      </x:c>
      <x:c r="M6" s="1835" t="str">
        <x:v>M</x:v>
      </x:c>
      <x:c r="N6" s="1835" t="str">
        <x:v>medium-risk</x:v>
      </x:c>
      <x:c r="O6" s="1837" t="str">
        <x:v>vllm/config/engram.py; vllm/config/vllm.py; vllm/models/deepseek_v41/amd/model.py; tests/kernels/test_engram.py; tests/test_config.py</x:v>
      </x:c>
      <x:c r="P6" s="1838" t="str">
        <x:v>https://github.com/vllm-project/vllm/pull/57491</x:v>
      </x:c>
    </x:row>
    <x:row r="7" ht="70" customHeight="1">
      <x:c r="A7" s="1839" t="str">
        <x:v>P2</x:v>
      </x:c>
      <x:c r="B7" s="1840" t="str">
        <x:v>#57460</x:v>
      </x:c>
      <x:c r="C7" s="1841" t="n">
        <x:v>46286</x:v>
      </x:c>
      <x:c r="D7" s="1840" t="str">
        <x:v>core-engine</x:v>
      </x:c>
      <x:c r="E7" s="1840" t="str">
        <x:v>仅CPU采集时生成profiling注解，避免无用注解成本</x:v>
      </x:c>
      <x:c r="F7" s="1840" t="str">
        <x:v>medium</x:v>
      </x:c>
      <x:c r="G7" s="1840" t="str">
        <x:v>idea-copy</x:v>
      </x:c>
      <x:c r="H7" s="1840" t="str">
        <x:v>python-adapter</x:v>
      </x:c>
      <x:c r="I7" s="1840" t="str">
        <x:v>否</x:v>
      </x:c>
      <x:c r="J7" s="1840" t="str">
        <x:v>刘逸舟</x:v>
      </x:c>
      <x:c r="K7" s="1840" t="str">
        <x:v>收益不明确待验证</x:v>
      </x:c>
      <x:c r="L7" s="1840" t="str">
        <x:v>无差异</x:v>
      </x:c>
      <x:c r="M7" s="1840" t="str">
        <x:v>M</x:v>
      </x:c>
      <x:c r="N7" s="1840" t="str">
        <x:v>medium-risk</x:v>
      </x:c>
      <x:c r="O7" s="1842" t="str">
        <x:v>vllm/config/profiler.py; vllm/profiler/wrapper.py; vllm/v1/engine/async_llm.py; vllm/v1/worker/cpu_worker.py; vllm/v1/worker/gpu_worker.py</x:v>
      </x:c>
      <x:c r="P7" s="1843" t="str">
        <x:v>https://github.com/vllm-project/vllm/pull/57460</x:v>
      </x:c>
    </x:row>
    <x:row r="8" ht="79.5" customHeight="1">
      <x:c r="A8" s="1834" t="str">
        <x:v>P2</x:v>
      </x:c>
      <x:c r="B8" s="1835" t="str">
        <x:v>#57643</x:v>
      </x:c>
      <x:c r="C8" s="1836" t="n">
        <x:v>46286</x:v>
      </x:c>
      <x:c r="D8" s="1835" t="str">
        <x:v>distributed</x:v>
      </x:c>
      <x:c r="E8" s="1835" t="str">
        <x:v>将TP collective与mHC混合、collapse、RMSNorm输入准备融合</x:v>
      </x:c>
      <x:c r="F8" s="1835" t="str">
        <x:v>medium</x:v>
      </x:c>
      <x:c r="G8" s="1835" t="str">
        <x:v>idea-copy</x:v>
      </x:c>
      <x:c r="H8" s="1835" t="str">
        <x:v>fallback_comm</x:v>
      </x:c>
      <x:c r="I8" s="1835" t="str">
        <x:v>否</x:v>
      </x:c>
      <x:c r="J8" s="1835" t="str">
        <x:v>温捷</x:v>
      </x:c>
      <x:c r="K8" s="1835" t="str">
        <x:v>平台差异可借鉴</x:v>
      </x:c>
      <x:c r="L8" s="1835" t="str">
        <x:v>无差异</x:v>
      </x:c>
      <x:c r="M8" s="1835" t="str">
        <x:v>M</x:v>
      </x:c>
      <x:c r="N8" s="1835" t="str">
        <x:v>medium-risk</x:v>
      </x:c>
      <x:c r="O8" s="1837" t="str">
        <x:v>csrc/libtorch_stable/all_reduce_mhc.cu; vllm/models/deepseek_v4/nvidia/model.py; vllm/models/deepseek_v41/nvidia/model.py; vllm/models/deepseek_v41/nvidia/ops/mega_mhc.py; vllm/models/deepseek_v41/nvidia/ops/mhc.py</x:v>
      </x:c>
      <x:c r="P8" s="1838" t="str">
        <x:v>https://github.com/vllm-project/vllm/pull/57643</x:v>
      </x:c>
    </x:row>
    <x:row r="9" ht="70" customHeight="1">
      <x:c r="A9" s="1839" t="str">
        <x:v>P2</x:v>
      </x:c>
      <x:c r="B9" s="1840" t="str">
        <x:v>#57277</x:v>
      </x:c>
      <x:c r="C9" s="1841" t="n">
        <x:v>46286</x:v>
      </x:c>
      <x:c r="D9" s="1840" t="str">
        <x:v>operator-kernel</x:v>
      </x:c>
      <x:c r="E9" s="1840" t="str">
        <x:v>MRV2复用XPU融合top-k/top-p采样，避免全排序与概率中间量</x:v>
      </x:c>
      <x:c r="F9" s="1840" t="str">
        <x:v>medium</x:v>
      </x:c>
      <x:c r="G9" s="1840" t="str">
        <x:v>idea-copy</x:v>
      </x:c>
      <x:c r="H9" s="1840" t="str">
        <x:v>python-adapter</x:v>
      </x:c>
      <x:c r="I9" s="1840" t="str">
        <x:v>否</x:v>
      </x:c>
      <x:c r="J9" s="1840" t="str">
        <x:v>田馥玮</x:v>
      </x:c>
      <x:c r="K9" s="1840" t="str">
        <x:v>平台差异可借鉴</x:v>
      </x:c>
      <x:c r="L9" s="1840" t="str">
        <x:v>无差异</x:v>
      </x:c>
      <x:c r="M9" s="1840" t="str">
        <x:v>M</x:v>
      </x:c>
      <x:c r="N9" s="1840" t="str">
        <x:v>medium-risk</x:v>
      </x:c>
      <x:c r="O9" s="1842" t="str">
        <x:v>vllm/v1/sample/ops/topk_topp_sampler.py; vllm/v1/watermarking/gpu_sampler.py; vllm/v1/worker/gpu/sample/sampler.py</x:v>
      </x:c>
      <x:c r="P9" s="1843" t="str">
        <x:v>https://github.com/vllm-project/vllm/pull/57277</x:v>
      </x:c>
    </x:row>
    <x:row r="10" ht="70" customHeight="1">
      <x:c r="A10" s="1844" t="str">
        <x:v>P2</x:v>
      </x:c>
      <x:c r="B10" s="1835" t="str">
        <x:v>#57868</x:v>
      </x:c>
      <x:c r="C10" s="1836" t="n">
        <x:v>46286</x:v>
      </x:c>
      <x:c r="D10" s="1835" t="str">
        <x:v>test-ci</x:v>
      </x:c>
      <x:c r="E10" s="1835" t="str">
        <x:v>prompt embedding提取关闭autograd，释放HF参考权重</x:v>
      </x:c>
      <x:c r="F10" s="1835" t="str">
        <x:v>medium</x:v>
      </x:c>
      <x:c r="G10" s="1835" t="str">
        <x:v>idea-copy</x:v>
      </x:c>
      <x:c r="H10" s="1835" t="str">
        <x:v>python-adapter</x:v>
      </x:c>
      <x:c r="I10" s="1835" t="str">
        <x:v>否</x:v>
      </x:c>
      <x:c r="J10" s="1835" t="str">
        <x:v>张新悦</x:v>
      </x:c>
      <x:c r="K10" s="1835" t="str">
        <x:v>收益不明确待验证</x:v>
      </x:c>
      <x:c r="L10" s="1835" t="str">
        <x:v>无差异</x:v>
      </x:c>
      <x:c r="M10" s="1835" t="str">
        <x:v>M</x:v>
      </x:c>
      <x:c r="N10" s="1835" t="str">
        <x:v>medium-risk</x:v>
      </x:c>
      <x:c r="O10" s="1837" t="str">
        <x:v>tests/models/language/generation/test_common.py</x:v>
      </x:c>
      <x:c r="P10" s="1838" t="str">
        <x:v>https://github.com/vllm-project/vllm/pull/57868</x:v>
      </x:c>
    </x:row>
    <x:row r="11" ht="70" customHeight="1">
      <x:c r="A11" s="1845" t="str">
        <x:v>P2</x:v>
      </x:c>
      <x:c r="B11" s="1840" t="str">
        <x:v>#57885</x:v>
      </x:c>
      <x:c r="C11" s="1841" t="n">
        <x:v>46286</x:v>
      </x:c>
      <x:c r="D11" s="1840" t="str">
        <x:v>attention-kv-cache</x:v>
      </x:c>
      <x:c r="E11" s="1840" t="str">
        <x:v>稀疏元数据直接写validity缓冲，decode跳过无用压缩长度计算</x:v>
      </x:c>
      <x:c r="F11" s="1840" t="str">
        <x:v>medium</x:v>
      </x:c>
      <x:c r="G11" s="1840" t="str">
        <x:v>idea-copy</x:v>
      </x:c>
      <x:c r="H11" s="1840" t="str">
        <x:v>csrc/attention</x:v>
      </x:c>
      <x:c r="I11" s="1840" t="str">
        <x:v>否</x:v>
      </x:c>
      <x:c r="J11" s="1840" t="str">
        <x:v>陈梦龙</x:v>
      </x:c>
      <x:c r="K11" s="1840" t="str">
        <x:v>收益不明确待验证</x:v>
      </x:c>
      <x:c r="L11" s="1840" t="str">
        <x:v>无差异</x:v>
      </x:c>
      <x:c r="M11" s="1840" t="str">
        <x:v>M</x:v>
      </x:c>
      <x:c r="N11" s="1840" t="str">
        <x:v>medium-risk</x:v>
      </x:c>
      <x:c r="O11" s="1842" t="str">
        <x:v>vllm/v1/attention/backends/mla/indexer.py; vllm/v1/attention/backends/mla/sparse_swa.py</x:v>
      </x:c>
      <x:c r="P11" s="1843" t="str">
        <x:v>https://github.com/vllm-project/vllm/pull/57885</x:v>
      </x:c>
    </x:row>
    <x:row r="12" ht="70" customHeight="1">
      <x:c r="A12" s="1834" t="str">
        <x:v>P2</x:v>
      </x:c>
      <x:c r="B12" s="1835" t="str">
        <x:v>#57526</x:v>
      </x:c>
      <x:c r="C12" s="1836" t="n">
        <x:v>46286</x:v>
      </x:c>
      <x:c r="D12" s="1835" t="str">
        <x:v>model-architecture</x:v>
      </x:c>
      <x:c r="E12" s="1835" t="str">
        <x:v>模型分离可编译骨干，恢复图捕获减少eager开销</x:v>
      </x:c>
      <x:c r="F12" s="1835" t="str">
        <x:v>medium</x:v>
      </x:c>
      <x:c r="G12" s="1835" t="str">
        <x:v>idea-copy</x:v>
      </x:c>
      <x:c r="H12" s="1835" t="str">
        <x:v>python-adapter</x:v>
      </x:c>
      <x:c r="I12" s="1835" t="str">
        <x:v>否</x:v>
      </x:c>
      <x:c r="J12" s="1835" t="str">
        <x:v>刘逸舟</x:v>
      </x:c>
      <x:c r="K12" s="1835" t="str">
        <x:v>平台差异可借鉴</x:v>
      </x:c>
      <x:c r="L12" s="1835" t="str">
        <x:v>无差异</x:v>
      </x:c>
      <x:c r="M12" s="1835" t="str">
        <x:v>M</x:v>
      </x:c>
      <x:c r="N12" s="1835" t="str">
        <x:v>medium-risk</x:v>
      </x:c>
      <x:c r="O12" s="1837" t="str">
        <x:v>vllm/models/hy_v4/__init__.py; vllm/models/hy_v4/amd/__init__.py; vllm/models/hy_v4/amd/model.py; tests/models/test_hyv4_rocm.py</x:v>
      </x:c>
      <x:c r="P12" s="1838" t="str">
        <x:v>https://github.com/vllm-project/vllm/pull/57526</x:v>
      </x:c>
    </x:row>
    <x:row r="13" ht="70" customHeight="1">
      <x:c r="A13" s="1845" t="str">
        <x:v>skip</x:v>
      </x:c>
      <x:c r="B13" s="1840" t="str">
        <x:v>#57651</x:v>
      </x:c>
      <x:c r="C13" s="1841" t="n">
        <x:v>46286</x:v>
      </x:c>
      <x:c r="D13" s="1840" t="str">
        <x:v>kv-offload</x:v>
      </x:c>
      <x:c r="E13" s="1840" t="str">
        <x:v>同节点DP Engram自动共享host表，避免重复分配</x:v>
      </x:c>
      <x:c r="F13" s="1840" t="str">
        <x:v>none</x:v>
      </x:c>
      <x:c r="G13" s="1840" t="str">
        <x:v>skip</x:v>
      </x:c>
      <x:c r="H13" s="1840" t="str">
        <x:v>none</x:v>
      </x:c>
      <x:c r="I13" s="1840" t="str">
        <x:v>否</x:v>
      </x:c>
      <x:c r="J13" s="1840" t="str">
        <x:v>王小超</x:v>
      </x:c>
      <x:c r="K13" s="1840" t="str">
        <x:v>不可用</x:v>
      </x:c>
      <x:c r="L13" s="1840" t="str">
        <x:v>无差异</x:v>
      </x:c>
      <x:c r="M13" s="1840" t="str">
        <x:v>M</x:v>
      </x:c>
      <x:c r="N13" s="1840" t="str">
        <x:v>medium-risk</x:v>
      </x:c>
      <x:c r="O13" s="1842" t="str">
        <x:v>vllm/config/engram.py; vllm/config/vllm.py; vllm/models/deepseek_v41/nvidia/engram.py; vllm/models/deepseek_v41/nvidia/model.py; tests/distributed/test_engram_dp_shard.py</x:v>
      </x:c>
      <x:c r="P13" s="1843" t="str">
        <x:v>https://github.com/vllm-project/vllm/pull/57651</x:v>
      </x:c>
    </x:row>
    <x:row r="14" ht="70" customHeight="1">
      <x:c r="A14" s="1846" t="str">
        <x:v>P2</x:v>
      </x:c>
      <x:c r="B14" s="1847" t="str">
        <x:v>#54535</x:v>
      </x:c>
      <x:c r="C14" s="1848" t="n">
        <x:v>46286</x:v>
      </x:c>
      <x:c r="D14" s="1847" t="str">
        <x:v>operator-kernel</x:v>
      </x:c>
      <x:c r="E14" s="1847" t="str">
        <x:v>MiniMax-M3融合四路QK norm并使用FP8 index_q</x:v>
      </x:c>
      <x:c r="F14" s="1847" t="str">
        <x:v>medium</x:v>
      </x:c>
      <x:c r="G14" s="1847" t="str">
        <x:v>idea-copy</x:v>
      </x:c>
      <x:c r="H14" s="1847" t="str">
        <x:v>csrc/attention</x:v>
      </x:c>
      <x:c r="I14" s="1847" t="str">
        <x:v>否</x:v>
      </x:c>
      <x:c r="J14" s="1847" t="str">
        <x:v>曾彦嘉</x:v>
      </x:c>
      <x:c r="K14" s="1847" t="str">
        <x:v>平台差异可借鉴</x:v>
      </x:c>
      <x:c r="L14" s="1847" t="str">
        <x:v>无差异</x:v>
      </x:c>
      <x:c r="M14" s="1847" t="str">
        <x:v>M</x:v>
      </x:c>
      <x:c r="N14" s="1847" t="str">
        <x:v>medium-risk</x:v>
      </x:c>
      <x:c r="O14" s="1849" t="str">
        <x:v>vllm/_aiter_ops.py; vllm/models/minimax_m3/amd/model.py; tests/kernels/attention/test_minimax_m3.py</x:v>
      </x:c>
      <x:c r="P14" s="1850" t="str">
        <x:v>https://github.com/vllm-project/vllm/pull/54535</x:v>
      </x:c>
    </x:row>
    <x:row r="15" ht="70" customHeight="1">
      <x:c r="A15" s="1851" t="str">
        <x:v>P2</x:v>
      </x:c>
      <x:c r="B15" s="1851" t="str">
        <x:v>#45635</x:v>
      </x:c>
      <x:c r="C15" s="1852" t="n">
        <x:v>46286</x:v>
      </x:c>
      <x:c r="D15" s="1851" t="str">
        <x:v>core-engine</x:v>
      </x:c>
      <x:c r="E15" s="1853" t="str">
        <x:v>Routed-experts按KV hash持久化并异步发布，降低输出生命周期耦合</x:v>
      </x:c>
      <x:c r="F15" s="1851" t="str">
        <x:v>medium</x:v>
      </x:c>
      <x:c r="G15" s="1851" t="str">
        <x:v>idea-copy</x:v>
      </x:c>
      <x:c r="H15" s="1851" t="str">
        <x:v>python-adapter</x:v>
      </x:c>
      <x:c r="I15" s="1851" t="str">
        <x:v>否</x:v>
      </x:c>
      <x:c r="J15" s="1851" t="str">
        <x:v>温捷</x:v>
      </x:c>
      <x:c r="K15" s="1851" t="str">
        <x:v>收益不明确待验证</x:v>
      </x:c>
      <x:c r="L15" s="1851" t="str">
        <x:v>无差异</x:v>
      </x:c>
      <x:c r="M15" s="1851" t="str">
        <x:v>M</x:v>
      </x:c>
      <x:c r="N15" s="1851" t="str">
        <x:v>medium-risk</x:v>
      </x:c>
      <x:c r="O15" s="1853" t="str">
        <x:v>vllm/config/__init__.py; vllm/config/aux_output.py; vllm/config/model.py; vllm/config/vllm.py; vllm/distributed/aux_output_connector/__init__.py</x:v>
      </x:c>
      <x:c r="P15" s="1853" t="str">
        <x:v>https://github.com/vllm-project/vllm/pull/45635</x:v>
      </x:c>
    </x:row>
    <x:row r="16" ht="70" customHeight="1">
      <x:c r="A16" s="1854" t="str">
        <x:v>P2</x:v>
      </x:c>
      <x:c r="B16" s="1854" t="str">
        <x:v>#57869</x:v>
      </x:c>
      <x:c r="C16" s="1855" t="n">
        <x:v>46286</x:v>
      </x:c>
      <x:c r="D16" s="1854" t="str">
        <x:v>test-ci</x:v>
      </x:c>
      <x:c r="E16" s="1856" t="str">
        <x:v>原生FP32参考模型直接设备加载，减少测试host内存峰值</x:v>
      </x:c>
      <x:c r="F16" s="1854" t="str">
        <x:v>medium</x:v>
      </x:c>
      <x:c r="G16" s="1854" t="str">
        <x:v>idea-copy</x:v>
      </x:c>
      <x:c r="H16" s="1854" t="str">
        <x:v>python-adapter</x:v>
      </x:c>
      <x:c r="I16" s="1854" t="str">
        <x:v>否</x:v>
      </x:c>
      <x:c r="J16" s="1854" t="str">
        <x:v>张新悦</x:v>
      </x:c>
      <x:c r="K16" s="1854" t="str">
        <x:v>平台差异可借鉴</x:v>
      </x:c>
      <x:c r="L16" s="1854" t="str">
        <x:v>无差异</x:v>
      </x:c>
      <x:c r="M16" s="1854" t="str">
        <x:v>M</x:v>
      </x:c>
      <x:c r="N16" s="1854" t="str">
        <x:v>medium-risk</x:v>
      </x:c>
      <x:c r="O16" s="1856" t="str">
        <x:v>tests/conftest.py</x:v>
      </x:c>
      <x:c r="P16" s="1856" t="str">
        <x:v>https://github.com/vllm-project/vllm/pull/57869</x:v>
      </x:c>
    </x:row>
    <x:row r="17" ht="79.5" customHeight="1">
      <x:c r="A17" s="1851" t="str">
        <x:v>P2</x:v>
      </x:c>
      <x:c r="B17" s="1851" t="str">
        <x:v>#52362</x:v>
      </x:c>
      <x:c r="C17" s="1852" t="n">
        <x:v>46286</x:v>
      </x:c>
      <x:c r="D17" s="1851" t="str">
        <x:v>spec-decode</x:v>
      </x:c>
      <x:c r="E17" s="1853" t="str">
        <x:v>DSpark按confidence自适应draft长度并支持变长验证</x:v>
      </x:c>
      <x:c r="F17" s="1851" t="str">
        <x:v>medium</x:v>
      </x:c>
      <x:c r="G17" s="1851" t="str">
        <x:v>idea-copy</x:v>
      </x:c>
      <x:c r="H17" s="1851" t="str">
        <x:v>python-adapter</x:v>
      </x:c>
      <x:c r="I17" s="1851" t="str">
        <x:v>否</x:v>
      </x:c>
      <x:c r="J17" s="1851" t="str">
        <x:v>李泽桐</x:v>
      </x:c>
      <x:c r="K17" s="1851" t="str">
        <x:v>收益不明确待验证</x:v>
      </x:c>
      <x:c r="L17" s="1851" t="str">
        <x:v>无差异</x:v>
      </x:c>
      <x:c r="M17" s="1851" t="str">
        <x:v>M</x:v>
      </x:c>
      <x:c r="N17" s="1851" t="str">
        <x:v>medium-risk</x:v>
      </x:c>
      <x:c r="O17" s="1853" t="str">
        <x:v>vllm/models/deepseek_v4/amd/dspark.py; vllm/models/deepseek_v4/amd/rocm.py; vllm/v1/attention/backends/mla/indexer.py; tests/kernels/attention/test_rocm_triton_attn_dsv4.py; tests/models/test_deepseek_v4_dspark_rocm.py</x:v>
      </x:c>
      <x:c r="P17" s="1853" t="str">
        <x:v>https://github.com/vllm-project/vllm/pull/52362</x:v>
      </x:c>
    </x:row>
    <x:row r="18" ht="70" customHeight="1">
      <x:c r="A18" s="1854" t="str">
        <x:v>P2</x:v>
      </x:c>
      <x:c r="B18" s="1854" t="str">
        <x:v>#55001</x:v>
      </x:c>
      <x:c r="C18" s="1855" t="n">
        <x:v>46287</x:v>
      </x:c>
      <x:c r="D18" s="1854" t="str">
        <x:v>quantization</x:v>
      </x:c>
      <x:c r="E18" s="1856" t="str">
        <x:v>使用调优库原生配置查询替代硬编码GEMM选核名单</x:v>
      </x:c>
      <x:c r="F18" s="1854" t="str">
        <x:v>medium</x:v>
      </x:c>
      <x:c r="G18" s="1854" t="str">
        <x:v>idea-copy</x:v>
      </x:c>
      <x:c r="H18" s="1854" t="str">
        <x:v>csrc/gmm</x:v>
      </x:c>
      <x:c r="I18" s="1854" t="str">
        <x:v>否</x:v>
      </x:c>
      <x:c r="J18" s="1854" t="str">
        <x:v>王锟鹏</x:v>
      </x:c>
      <x:c r="K18" s="1854" t="str">
        <x:v>平台差异可借鉴</x:v>
      </x:c>
      <x:c r="L18" s="1854" t="str">
        <x:v>无差异</x:v>
      </x:c>
      <x:c r="M18" s="1854" t="str">
        <x:v>M</x:v>
      </x:c>
      <x:c r="N18" s="1854" t="str">
        <x:v>medium-risk</x:v>
      </x:c>
      <x:c r="O18" s="1856" t="str">
        <x:v>vllm/_aiter_ops.py; tests/kernels/quantization/test_rocm_mxfp4.py</x:v>
      </x:c>
      <x:c r="P18" s="1856" t="str">
        <x:v>https://github.com/vllm-project/vllm/pull/55001</x:v>
      </x:c>
    </x:row>
    <x:row r="19" ht="70" customHeight="1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 ht="79.5" customHeight="1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 ht="70" customHeight="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 ht="70" customHeight="1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 ht="93" customHeight="1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 ht="70" customHeight="1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 ht="70" customHeight="1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 ht="70" customHeight="1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</x:sheetData>
  <x:mergeCells>
    <x:mergeCell ref="A1:P1"/>
    <x:mergeCell ref="A2:P2"/>
  </x:mergeCells>
  <x:conditionalFormatting sqref="L5:L19">
    <x:cfRule type="containsText" dxfId="4" priority="5" operator="containsText" text="有差异"/>
  </x:conditionalFormatting>
  <x:conditionalFormatting sqref="M5:M14">
    <x:cfRule type="containsText" dxfId="21" priority="10" operator="containsText" text="有差异"/>
  </x:conditionalFormatting>
  <x:conditionalFormatting sqref="A5:A17">
    <x:cfRule type="containsText" dxfId="32" priority="15" operator="containsText" text="P0"/>
    <x:cfRule type="containsText" dxfId="33" priority="16" operator="containsText" text="P1"/>
    <x:cfRule type="containsText" dxfId="34" priority="17" operator="containsText" text="P2"/>
    <x:cfRule type="containsText" dxfId="35" priority="18" operator="containsText" text="skip"/>
  </x:conditionalFormatting>
  <x:conditionalFormatting sqref="A5:A19">
    <x:cfRule type="containsText" dxfId="72" priority="27" operator="containsText" text="P0"/>
    <x:cfRule type="containsText" dxfId="73" priority="28" operator="containsText" text="P1"/>
    <x:cfRule type="containsText" dxfId="74" priority="29" operator="containsText" text="P2"/>
    <x:cfRule type="containsText" dxfId="75" priority="30" operator="containsText" text="skip"/>
  </x:conditionalFormatting>
  <x:conditionalFormatting sqref="A5:A25">
    <x:cfRule type="containsText" dxfId="82" priority="31" operator="containsText" text="P0"/>
    <x:cfRule type="containsText" dxfId="83" priority="32" operator="containsText" text="P1"/>
    <x:cfRule type="containsText" dxfId="84" priority="33" operator="containsText" text="P2"/>
    <x:cfRule type="containsText" dxfId="85" priority="34" operator="containsText" text="skip"/>
  </x:conditionalFormatting>
  <x:conditionalFormatting sqref="A5:A15">
    <x:cfRule type="containsText" dxfId="112" priority="39" operator="containsText" text="P0"/>
    <x:cfRule type="containsText" dxfId="113" priority="40" operator="containsText" text="P1"/>
    <x:cfRule type="containsText" dxfId="114" priority="41" operator="containsText" text="P2"/>
    <x:cfRule type="containsText" dxfId="115" priority="42" operator="containsText" text="skip"/>
  </x:conditionalFormatting>
  <x:conditionalFormatting sqref="A5:A23">
    <x:cfRule type="containsText" dxfId="132" priority="47" operator="containsText" text="P0"/>
    <x:cfRule type="containsText" dxfId="133" priority="48" operator="containsText" text="P1"/>
    <x:cfRule type="containsText" dxfId="134" priority="49" operator="containsText" text="P2"/>
    <x:cfRule type="containsText" dxfId="135" priority="50" operator="containsText" text="skip"/>
  </x:conditionalFormatting>
  <x:conditionalFormatting sqref="A5:A22">
    <x:cfRule type="containsText" dxfId="142" priority="51" operator="containsText" text="P0"/>
    <x:cfRule type="containsText" dxfId="143" priority="52" operator="containsText" text="P1"/>
    <x:cfRule type="containsText" dxfId="144" priority="53" operator="containsText" text="P2"/>
    <x:cfRule type="containsText" dxfId="145" priority="54" operator="containsText" text="skip"/>
  </x:conditionalFormatting>
  <x:conditionalFormatting sqref="A5:A26">
    <x:cfRule type="containsText" dxfId="152" priority="55" operator="containsText" text="P0"/>
    <x:cfRule type="containsText" dxfId="153" priority="56" operator="containsText" text="P1"/>
    <x:cfRule type="containsText" dxfId="154" priority="57" operator="containsText" text="P2"/>
    <x:cfRule type="containsText" dxfId="155" priority="58" operator="containsText" text="skip"/>
  </x:conditionalFormatting>
  <x:conditionalFormatting sqref="A5:A21">
    <x:cfRule type="containsText" dxfId="162" priority="59" operator="containsText" text="P0"/>
    <x:cfRule type="containsText" dxfId="163" priority="60" operator="containsText" text="P1"/>
    <x:cfRule type="containsText" dxfId="164" priority="61" operator="containsText" text="P2"/>
    <x:cfRule type="containsText" dxfId="165" priority="62" operator="containsText" text="skip"/>
  </x:conditionalFormatting>
  <x:conditionalFormatting sqref="A5:A14">
    <x:cfRule type="containsText" dxfId="182" priority="63" operator="containsText" text="P0"/>
    <x:cfRule type="containsText" dxfId="183" priority="64" operator="containsText" text="P1"/>
    <x:cfRule type="containsText" dxfId="184" priority="65" operator="containsText" text="P2"/>
    <x:cfRule type="containsText" dxfId="185" priority="66" operator="containsText" text="skip"/>
  </x:conditionalFormatting>
  <x:conditionalFormatting sqref="A5:A18">
    <x:cfRule type="containsText" dxfId="192" priority="67" operator="containsText" text="P0"/>
    <x:cfRule type="containsText" dxfId="193" priority="68" operator="containsText" text="P1"/>
    <x:cfRule type="containsText" dxfId="194" priority="69" operator="containsText" text="P2"/>
    <x:cfRule type="containsText" dxfId="195" priority="70" operator="containsText" text="skip"/>
  </x:conditionalFormatting>
  <x:pageMargins left="0.7" right="0.7" top="0.75" bottom="0.75" header="0.3" footer="0.3"/>
  <x:tableParts count="1">
    <x:tablePart xmlns:r="http://schemas.openxmlformats.org/officeDocument/2006/relationships" r:id="Rdbabbad7102f405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4" hidden="0" customWidth="1"/>
    <x:col min="4" max="4" width="48" hidden="0" customWidth="1"/>
    <x:col min="5" max="5" width="17" hidden="0" customWidth="1"/>
    <x:col min="6" max="6" width="42" hidden="0" customWidth="1"/>
    <x:col min="7" max="7" width="48" hidden="0" customWidth="1"/>
    <x:col min="8" max="8" width="48" hidden="0" customWidth="1"/>
    <x:col min="9" max="9" width="48" hidden="0" customWidth="1"/>
    <x:col min="10" max="10" width="14" hidden="0" customWidth="1"/>
    <x:col min="11" max="11" width="54" hidden="0" customWidth="1"/>
  </x:cols>
  <x:sheetData>
    <x:row r="1" ht="30" customHeight="1">
      <x:c r="A1" s="34" t="str">
        <x:v>行动清单（V3 P0-P1）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</x:row>
    <x:row r="2" ht="34" customHeight="1">
      <x:c r="A2" s="8" t="str">
        <x:v>按main-lys V3列出0条P0、0条P1；仅列优化行动，Bugfix/功能P1见各自管理页；其余优化POC见精确复核页。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4" ht="34" customHeight="1">
      <x:c r="A4" s="1828" t="str">
        <x:v>优先级</x:v>
      </x:c>
      <x:c r="B4" s="1828" t="str">
        <x:v>PR</x:v>
      </x:c>
      <x:c r="C4" s="1828" t="str">
        <x:v>第一责任人</x:v>
      </x:c>
      <x:c r="D4" s="1828" t="str">
        <x:v>优化点</x:v>
      </x:c>
      <x:c r="E4" s="1828" t="str">
        <x:v>目标模块</x:v>
      </x:c>
      <x:c r="F4" s="1828" t="str">
        <x:v>迁移步骤</x:v>
      </x:c>
      <x:c r="G4" s="1828" t="str">
        <x:v>验证场景</x:v>
      </x:c>
      <x:c r="H4" s="1828" t="str">
        <x:v>V3结论</x:v>
      </x:c>
      <x:c r="I4" s="1828" t="str">
        <x:v>精确复核</x:v>
      </x:c>
      <x:c r="J4" s="1828" t="str">
        <x:v>结论差异</x:v>
      </x:c>
      <x:c r="K4" s="1828" t="str">
        <x:v>Review摘要</x:v>
      </x:c>
    </x:row>
    <x:row r="5" ht="70" customHeight="1">
      <x:c r="A5" s="349" t="str">
        <x:v>无记录</x:v>
      </x:c>
      <x:c r="B5" s="350" t="str"/>
      <x:c r="C5" s="350" t="str"/>
      <x:c r="D5" s="350" t="str"/>
      <x:c r="E5" s="350" t="str"/>
      <x:c r="F5" s="725" t="str"/>
      <x:c r="G5" s="725" t="str"/>
      <x:c r="H5" s="350" t="str"/>
      <x:c r="I5" s="350" t="str"/>
      <x:c r="J5" s="350" t="str"/>
      <x:c r="K5" s="352" t="str"/>
    </x:row>
    <x:row r="6" ht="70" customHeight="1">
      <x:c r="A6"/>
      <x:c r="B6"/>
      <x:c r="C6"/>
      <x:c r="D6"/>
      <x:c r="E6"/>
      <x:c r="F6"/>
      <x:c r="G6"/>
      <x:c r="H6"/>
      <x:c r="I6"/>
      <x:c r="J6"/>
      <x:c r="K6"/>
    </x:row>
    <x:row r="7" ht="70" customHeight="1">
      <x:c r="A7"/>
      <x:c r="B7"/>
      <x:c r="C7"/>
      <x:c r="D7"/>
      <x:c r="E7"/>
      <x:c r="F7"/>
      <x:c r="G7"/>
      <x:c r="H7"/>
      <x:c r="I7"/>
      <x:c r="J7"/>
      <x:c r="K7"/>
    </x:row>
    <x:row r="8" ht="79.5" customHeight="1">
      <x:c r="A8"/>
      <x:c r="B8"/>
      <x:c r="C8"/>
      <x:c r="D8"/>
      <x:c r="E8"/>
      <x:c r="F8"/>
      <x:c r="G8"/>
      <x:c r="H8"/>
      <x:c r="I8"/>
      <x:c r="J8"/>
      <x:c r="K8"/>
    </x:row>
    <x:row r="9" ht="132" customHeight="1">
      <x:c r="A9"/>
      <x:c r="B9"/>
      <x:c r="C9"/>
      <x:c r="D9"/>
      <x:c r="E9"/>
      <x:c r="F9"/>
      <x:c r="G9"/>
      <x:c r="H9"/>
      <x:c r="I9"/>
      <x:c r="J9"/>
      <x:c r="K9"/>
    </x:row>
    <x:row r="10" ht="132" customHeight="1">
      <x:c r="A10"/>
      <x:c r="B10"/>
      <x:c r="C10"/>
      <x:c r="D10"/>
      <x:c r="E10"/>
      <x:c r="F10"/>
      <x:c r="G10"/>
      <x:c r="H10"/>
      <x:c r="I10"/>
      <x:c r="J10"/>
      <x:c r="K10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7830375bcb4645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35" hidden="0" customWidth="1"/>
    <x:col min="5" max="5" width="22" hidden="0" customWidth="1"/>
    <x:col min="6" max="6" width="55" hidden="0" customWidth="1"/>
    <x:col min="7" max="7" width="52" hidden="0" customWidth="1"/>
    <x:col min="8" max="8" width="58" hidden="0" customWidth="1"/>
  </x:cols>
  <x:sheetData>
    <x:row r="1" ht="30" customHeight="1">
      <x:c r="A1" s="49" t="str">
        <x:v>跳过清单</x:v>
      </x:c>
      <x:c r="B1" s="49"/>
      <x:c r="C1" s="49"/>
      <x:c r="D1" s="49"/>
      <x:c r="E1" s="49"/>
      <x:c r="F1" s="49"/>
      <x:c r="G1" s="49"/>
      <x:c r="H1" s="49"/>
    </x:row>
    <x:row r="2" ht="34" customHeight="1">
      <x:c r="A2" s="53" t="str">
        <x:v>本页仅列不可用/skip。平台实现不可直接用但有借鉴入口的7条已保留在优化总表，不列为skip。</x:v>
      </x:c>
      <x:c r="B2" s="53"/>
      <x:c r="C2" s="53"/>
      <x:c r="D2" s="53"/>
      <x:c r="E2" s="53"/>
      <x:c r="F2" s="53"/>
      <x:c r="G2" s="53"/>
      <x:c r="H2" s="53"/>
    </x:row>
    <x:row r="4" ht="34" customHeight="1">
      <x:c r="A4" s="1828" t="str">
        <x:v>PR</x:v>
      </x:c>
      <x:c r="B4" s="1828" t="str">
        <x:v>合入日期</x:v>
      </x:c>
      <x:c r="C4" s="1828" t="str">
        <x:v>第一责任人</x:v>
      </x:c>
      <x:c r="D4" s="1828" t="str">
        <x:v>优化点</x:v>
      </x:c>
      <x:c r="E4" s="1828" t="str">
        <x:v>分类</x:v>
      </x:c>
      <x:c r="F4" s="1828" t="str">
        <x:v>跳过原因</x:v>
      </x:c>
      <x:c r="G4" s="1828" t="str">
        <x:v>可借鉴点</x:v>
      </x:c>
      <x:c r="H4" s="1828" t="str">
        <x:v>Review摘要</x:v>
      </x:c>
    </x:row>
    <x:row r="5" ht="70" customHeight="1">
      <x:c r="A5" s="1857" t="str">
        <x:v>#57491</x:v>
      </x:c>
      <x:c r="B5" s="1858" t="n">
        <x:v>46286</x:v>
      </x:c>
      <x:c r="C5" s="1859" t="str">
        <x:v>王小超</x:v>
      </x:c>
      <x:c r="D5" s="1859" t="str">
        <x:v>ROCm Engram host offload释放显存以增加KV容量</x:v>
      </x:c>
      <x:c r="E5" s="1859" t="str">
        <x:v>kv-offload</x:v>
      </x:c>
      <x:c r="F5" s="1860" t="str">
        <x:v>NPU已有HostUvaBuffer与节点分片host表，不走is_cuda_alike门禁，不能将现有能力再算本次收益。</x:v>
      </x:c>
      <x:c r="G5" s="1860" t="str">
        <x:v>可借鉴明确分开host容量、KV预算和端到端性能指标，但NPU已有核心host offload能力。</x:v>
      </x:c>
      <x:c r="H5" s="1861" t="str">
        <x:v>容量收益不是吞吐加速；NPU host注册及INT8行/FP32 scales是不同实现。</x:v>
      </x:c>
    </x:row>
    <x:row r="6" ht="70" customHeight="1">
      <x:c r="A6" s="1862" t="str">
        <x:v>#57651</x:v>
      </x:c>
      <x:c r="B6" s="1863" t="n">
        <x:v>46286</x:v>
      </x:c>
      <x:c r="C6" s="1862" t="str">
        <x:v>王小超</x:v>
      </x:c>
      <x:c r="D6" s="1864" t="str">
        <x:v>同节点DP Engram自动共享host表，避免重复分配</x:v>
      </x:c>
      <x:c r="E6" s="1862" t="str">
        <x:v>kv-offload</x:v>
      </x:c>
      <x:c r="F6" s="1864" t="str">
        <x:v>NPU NodeShardedEngram已有跨节点/节点内分片，无同一DP重复表；配置接口漂移另列必改。</x:v>
      </x:c>
      <x:c r="G6" s="1864" t="str">
        <x:v>可借鉴容量检测和自动降级提示；NPU须用自己的节点分片/host注册方案解释配置。</x:v>
      </x:c>
      <x:c r="H6" s="1864" t="str">
        <x:v>不能把上游解析后auto=True等同NPU实际启用共享内存；NPU自己的分片实现已经避免重复，不计新增收益。</x:v>
      </x:c>
    </x:row>
    <x:row r="7" ht="92" customHeight="1">
      <x:c r="A7"/>
      <x:c r="B7"/>
      <x:c r="C7"/>
      <x:c r="D7"/>
      <x:c r="E7"/>
      <x:c r="F7"/>
      <x:c r="G7"/>
      <x:c r="H7"/>
    </x:row>
    <x:row r="8" ht="92" customHeight="1">
      <x:c r="A8"/>
      <x:c r="B8"/>
      <x:c r="C8"/>
      <x:c r="D8"/>
      <x:c r="E8"/>
      <x:c r="F8"/>
      <x:c r="G8"/>
      <x:c r="H8"/>
    </x:row>
    <x:row r="9" ht="92" customHeight="1">
      <x:c r="A9"/>
      <x:c r="B9"/>
      <x:c r="C9"/>
      <x:c r="D9"/>
      <x:c r="E9"/>
      <x:c r="F9"/>
      <x:c r="G9"/>
      <x:c r="H9"/>
    </x:row>
    <x:row r="10" ht="92" customHeight="1">
      <x:c r="A10"/>
      <x:c r="B10"/>
      <x:c r="C10"/>
      <x:c r="D10"/>
      <x:c r="E10"/>
      <x:c r="F10"/>
      <x:c r="G10"/>
      <x:c r="H10"/>
    </x:row>
    <x:row r="11" ht="92" customHeight="1">
      <x:c r="A11"/>
      <x:c r="B11"/>
      <x:c r="C11"/>
      <x:c r="D11"/>
      <x:c r="E11"/>
      <x:c r="F11"/>
      <x:c r="G11"/>
      <x:c r="H11"/>
    </x:row>
    <x:row r="12" ht="92" customHeight="1">
      <x:c r="A12"/>
      <x:c r="B12"/>
      <x:c r="C12"/>
      <x:c r="D12"/>
      <x:c r="E12"/>
      <x:c r="F12"/>
      <x:c r="G12"/>
      <x:c r="H12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a065691ac0848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25" hidden="0" customWidth="1"/>
    <x:col min="4" max="4" width="22" hidden="0" customWidth="1"/>
    <x:col min="5" max="5" width="34" hidden="0" customWidth="1"/>
    <x:col min="6" max="6" width="70" hidden="0" customWidth="1"/>
    <x:col min="7" max="7" width="18" hidden="0" customWidth="1"/>
    <x:col min="8" max="8" width="54" hidden="0" customWidth="1"/>
    <x:col min="9" max="9" width="45" hidden="0" customWidth="1"/>
  </x:cols>
  <x:sheetData>
    <x:row r="1" ht="30" customHeight="1">
      <x:c r="A1" s="4" t="str">
        <x:v>V3 工作流结论 vs 精确代码复核</x:v>
      </x:c>
      <x:c r="B1" s="4"/>
      <x:c r="C1" s="4"/>
      <x:c r="D1" s="4"/>
      <x:c r="E1" s="4"/>
      <x:c r="F1" s="4"/>
      <x:c r="G1" s="4"/>
      <x:c r="H1" s="4"/>
      <x:c r="I1" s="4"/>
    </x:row>
    <x:row r="2" ht="34" customHeight="1">
      <x:c r="A2" s="8" t="str">
        <x:v>V3 Prompt结合架构映射；精确复核检查import、继承、override、patch、调用链和cutoff端点有效路径。</x:v>
      </x:c>
      <x:c r="B2" s="8"/>
      <x:c r="C2" s="8"/>
      <x:c r="D2" s="8"/>
      <x:c r="E2" s="8"/>
      <x:c r="F2" s="8"/>
      <x:c r="G2" s="8"/>
      <x:c r="H2" s="8"/>
      <x:c r="I2" s="8"/>
    </x:row>
    <x:row r="4" ht="34" customHeight="1">
      <x:c r="A4" s="1828" t="str">
        <x:v>PR</x:v>
      </x:c>
      <x:c r="B4" s="1828" t="str">
        <x:v>V3结论</x:v>
      </x:c>
      <x:c r="C4" s="1828" t="str">
        <x:v>架构候选/真实Patch键</x:v>
      </x:c>
      <x:c r="D4" s="1828" t="str">
        <x:v>目标模块</x:v>
      </x:c>
      <x:c r="E4" s="1828" t="str">
        <x:v>精确代码结论</x:v>
      </x:c>
      <x:c r="F4" s="1828" t="str">
        <x:v>精确原因</x:v>
      </x:c>
      <x:c r="G4" s="1828" t="str">
        <x:v>新增接口断点</x:v>
      </x:c>
      <x:c r="H4" s="1828" t="str">
        <x:v>V3判定依据摘要</x:v>
      </x:c>
      <x:c r="I4" s="1828" t="str">
        <x:v>最终执行口径</x:v>
      </x:c>
    </x:row>
    <x:row r="5" ht="70" customHeight="1">
      <x:c r="A5" s="1865" t="str">
        <x:v>#57603</x:v>
      </x:c>
      <x:c r="B5" s="1830" t="str">
        <x:v>P2 / idea-copy</x:v>
      </x:c>
      <x:c r="C5" s="1830" t="str">
        <x:v>无旧映射命中；仍按源码复核</x:v>
      </x:c>
      <x:c r="D5" s="1830" t="str">
        <x:v>csrc/aclnn_torch_adapter</x:v>
      </x:c>
      <x:c r="E5" s="1830" t="str">
        <x:v>平台差异可借鉴
硬件相关：平台实现不同</x:v>
      </x:c>
      <x:c r="F5" s="1830" t="str">
        <x:v>Ascend注册自有DeepSeekV4.1 DecoderLayer：hc_pre调用npu_hc_pre_v3，hc_post调用npu_hc_post，按attention/FFN串行使用，非NVIDIA shifted_mhc stream实现。同窗#57874已把上游overlap限制为FULL捕获。</x:v>
      </x:c>
      <x:c r="G5" s="1830" t="str">
        <x:v>未发现需完整扫描的未知断点</x:v>
      </x:c>
      <x:c r="H5" s="1830" t="str">
        <x:v>公开判定摘要：小batch mHC系数旁路流计算，与attention/FFN重叠。NPU自有hc_pre/hc_post不执行SM100路径，可借鉴延迟系数与主干重叠，需验证NPU流和图语义。 最终路由：medium/idea-copy/P2；源码依据与局限见精确复核及测试页。</x:v>
      </x:c>
      <x:c r="I5" s="1833" t="str">
        <x:v>不移植上游平台代码；按NPU有效路径借鉴方法并验证</x:v>
      </x:c>
    </x:row>
    <x:row r="6" ht="70" customHeight="1">
      <x:c r="A6" s="1834" t="str">
        <x:v>#57491</x:v>
      </x:c>
      <x:c r="B6" s="1835" t="str">
        <x:v>skip / skip</x:v>
      </x:c>
      <x:c r="C6" s="1835" t="str">
        <x:v>旧映射候选（不等于冲突）：
vllm.config</x:v>
      </x:c>
      <x:c r="D6" s="1835" t="str">
        <x:v>none</x:v>
      </x:c>
      <x:c r="E6" s="1835" t="str">
        <x:v>不可用
已有等价处理：无本次新增收益</x:v>
      </x:c>
      <x:c r="F6" s="1835" t="str">
        <x:v>NPU自有HostUvaBuffer用aclrtHostRegisterV2/aclrtHostGetDevicePointer映射host表，早已具备同类host offload；此次HIP门禁不带来新增NPU容量。</x:v>
      </x:c>
      <x:c r="G6" s="1835" t="str">
        <x:v>未发现需完整扫描的未知断点</x:v>
      </x:c>
      <x:c r="H6" s="1835" t="str">
        <x:v>公开判定摘要：ROCm Engram host offload释放显存以增加KV容量。NPU已有HostUvaBuffer与节点分片host表，不走is_cuda_alike门禁，不能将现有能力再算本次收益。 最终路由：none/skip/skip；源码依据与局限见精确复核及测试页。</x:v>
      </x:c>
      <x:c r="I6" s="1838" t="str">
        <x:v>无本次新增可迁移收益；保留NPU既有实现和能力门禁</x:v>
      </x:c>
    </x:row>
    <x:row r="7" ht="120" customHeight="1">
      <x:c r="A7" s="1845" t="str">
        <x:v>#57460</x:v>
      </x:c>
      <x:c r="B7" s="1840" t="str">
        <x:v>P2 / idea-copy</x:v>
      </x:c>
      <x:c r="C7" s="1840" t="str">
        <x:v>旧映射候选（不等于冲突）：
vllm.config</x:v>
      </x:c>
      <x:c r="D7" s="1840" t="str">
        <x:v>python-adapter</x:v>
      </x:c>
      <x:c r="E7" s="1840" t="str">
        <x:v>收益不明确待验证
硬件无关：有效路径及收益需POC</x:v>
      </x:c>
      <x:c r="F7" s="1840" t="str">
        <x:v>TorchNPUProfilerWrapper自建torch_npu.profiler.profile一次并反复start/stop，没有继承上游TorchProfilerWrapper重建逻辑；但torch_npu是否同样不可重启尚无运行证据，不能认定同一缺陷已复现。新增base should_annotate属性可继承，但配置/采集活动仍由NPU自建wrapper控制；不能推定CPU关闭即NPU注解已经省去。</x:v>
      </x:c>
      <x:c r="G7" s="1840" t="str">
        <x:v>已知适配点：NPU wrapper应显式实现或拒绝新增activities配置，核对should_annotate与CPU采集联动；用torch_npu能力表而非上游cpu/cuda/xpu工厂，重启问题先实测。</x:v>
      </x:c>
      <x:c r="H7" s="1840" t="str">
        <x:v>公开判定摘要：仅CPU采集时生成profiling注解，避免无用注解成本。NPU自有profiler wrapper未自动接入新activities配置，是否少做注解及收益需单独测量。 最终路由：medium/idea-copy/P2；源码依据与局限见精确复核及测试页。</x:v>
      </x:c>
      <x:c r="I7" s="1843" t="str">
        <x:v>先完成已确认的接口适配与正确性回归；再独立验证性能收益，详见功能接口页</x:v>
      </x:c>
    </x:row>
    <x:row r="8" ht="70" customHeight="1">
      <x:c r="A8" s="1834" t="str">
        <x:v>#57643</x:v>
      </x:c>
      <x:c r="B8" s="1835" t="str">
        <x:v>P2 / idea-copy</x:v>
      </x:c>
      <x:c r="C8" s="1835" t="str">
        <x:v>无旧映射命中；仍按源码复核</x:v>
      </x:c>
      <x:c r="D8" s="1835" t="str">
        <x:v>fallback_comm</x:v>
      </x:c>
      <x:c r="E8" s="1835" t="str">
        <x:v>平台差异可借鉴
硬件相关：平台实现不同</x:v>
      </x:c>
      <x:c r="F8" s="1835" t="str">
        <x:v>Ascend自有V4.1 hc_pre/hc_post、HCCL与SP reduce_scatter，不使用MNNVL workspace或SM100 multicast。要重做通信域、布局及同步，非上游patch直接承接。</x:v>
      </x:c>
      <x:c r="G8" s="1835" t="str">
        <x:v>未发现需完整扫描的未知断点</x:v>
      </x:c>
      <x:c r="H8" s="1835" t="str">
        <x:v>公开判定摘要：将TP collective与mHC混合、collapse、RMSNorm输入准备融合。NVLink multicast/MNNVL与HCCL不同，可借鉴融合边界和数据复用，不能移植SM100内核。 最终路由：medium/idea-copy/P2；源码依据与局限见精确复核及测试页。</x:v>
      </x:c>
      <x:c r="I8" s="1838" t="str">
        <x:v>不移植上游平台代码；按NPU有效路径借鉴方法并验证</x:v>
      </x:c>
    </x:row>
    <x:row r="9" ht="70" customHeight="1">
      <x:c r="A9" s="1845" t="str">
        <x:v>#57277</x:v>
      </x:c>
      <x:c r="B9" s="1840" t="str">
        <x:v>P2 / idea-copy</x:v>
      </x:c>
      <x:c r="C9" s="1840" t="str">
        <x:v>无旧映射命中；仍按源码复核</x:v>
      </x:c>
      <x:c r="D9" s="1840" t="str">
        <x:v>python-adapter</x:v>
      </x:c>
      <x:c r="E9" s="1840" t="str">
        <x:v>平台差异可借鉴
硬件相关：平台实现不同</x:v>
      </x:c>
      <x:c r="F9" s="1840" t="str">
        <x:v>共享MRV2 sampler可见xpu_sample，但current_platform.is_xpu在NPU为假；Ascend另有采样/底层kernel patch，新XPU快路径不会执行。</x:v>
      </x:c>
      <x:c r="G9" s="1840" t="str">
        <x:v>未发现需完整扫描的未知断点</x:v>
      </x:c>
      <x:c r="H9" s="1840" t="str">
        <x:v>公开判定摘要：MRV2复用XPU融合top-k/top-p采样，避免全排序与概率中间量。NPU不满足XPU分派门禁，可借鉴融合随机采样和精确回退条件，需NPU实现及数值验证。 最终路由：medium/idea-copy/P2；源码依据与局限见精确复核及测试页。</x:v>
      </x:c>
      <x:c r="I9" s="1843" t="str">
        <x:v>不移植上游平台代码；按NPU有效路径借鉴方法并验证</x:v>
      </x:c>
    </x:row>
    <x:row r="10" ht="70" customHeight="1">
      <x:c r="A10" s="1834" t="str">
        <x:v>#57868</x:v>
      </x:c>
      <x:c r="B10" s="1835" t="str">
        <x:v>P2 / idea-copy</x:v>
      </x:c>
      <x:c r="C10" s="1835" t="str">
        <x:v>无旧映射命中；仍按源码复核</x:v>
      </x:c>
      <x:c r="D10" s="1835" t="str">
        <x:v>python-adapter</x:v>
      </x:c>
      <x:c r="E10" s="1835" t="str">
        <x:v>收益不明确待验证
硬件无关：有效路径及收益需POC</x:v>
      </x:c>
      <x:c r="F10" s="1835" t="str">
        <x:v>修复上游tests/models/language/generation/test_common.py的prompt embedding提取，不改变生产推理；Ascend本地测试使用自有tests/e2e/conftest.py，未引用该测试入口。方法可借鉴，尚未证明同一NPU泄漏。</x:v>
      </x:c>
      <x:c r="G10" s="1835" t="str">
        <x:v>未发现需完整扫描的未知断点</x:v>
      </x:c>
      <x:c r="H10" s="1835" t="str">
        <x:v>公开判定摘要：prompt embedding提取关闭autograd，释放HF参考权重。这是测试内存优化；Ascend自有runner未引用该上游测试，需先找同类引用链，不能算生产直接继承。 最终路由：medium/idea-copy/P2；源码依据与局限见精确复核及测试页。</x:v>
      </x:c>
      <x:c r="I10" s="1838" t="str">
        <x:v>先做NPU profiling/最小POC，收益成立后再实现</x:v>
      </x:c>
    </x:row>
    <x:row r="11" ht="70" customHeight="1">
      <x:c r="A11" s="1845" t="str">
        <x:v>#57885</x:v>
      </x:c>
      <x:c r="B11" s="1840" t="str">
        <x:v>P2 / idea-copy</x:v>
      </x:c>
      <x:c r="C11" s="1840" t="str">
        <x:v>无旧映射命中；仍按源码复核</x:v>
      </x:c>
      <x:c r="D11" s="1840" t="str">
        <x:v>csrc/attention</x:v>
      </x:c>
      <x:c r="E11" s="1840" t="str">
        <x:v>收益不明确待验证
硬件无关：有效路径及收益需POC</x:v>
      </x:c>
      <x:c r="F11" s="1840" t="str">
        <x:v>Ascend使用AscendSFAIndexerMetadataBuilder/AscendSFAMetadataBuilder以及自有SparseMLAMetadataState，不走被改sparse_swa.py/indexer.py构建链；自己的valid/count缓冲操作需独立核对。</x:v>
      </x:c>
      <x:c r="G11" s="1840" t="str">
        <x:v>未发现需完整扫描的未知断点</x:v>
      </x:c>
      <x:c r="H11" s="1840" t="str">
        <x:v>公开判定摘要：稀疏元数据直接写validity缓冲，decode跳过无用压缩长度计算。NPU自有SFA元数据builder没有自动得到上游删操作收益，需检查现有冗余与端到端占比。 最终路由：medium/idea-copy/P2；源码依据与局限见精确复核及测试页。</x:v>
      </x:c>
      <x:c r="I11" s="1843" t="str">
        <x:v>先做NPU profiling/最小POC，收益成立后再实现</x:v>
      </x:c>
    </x:row>
    <x:row r="12" ht="70" customHeight="1">
      <x:c r="A12" s="1834" t="str">
        <x:v>#57526</x:v>
      </x:c>
      <x:c r="B12" s="1835" t="str">
        <x:v>P2 / idea-copy</x:v>
      </x:c>
      <x:c r="C12" s="1835" t="str">
        <x:v>无旧映射命中；仍按源码复核</x:v>
      </x:c>
      <x:c r="D12" s="1835" t="str">
        <x:v>python-adapter</x:v>
      </x:c>
      <x:c r="E12" s="1835" t="str">
        <x:v>平台差异可借鉴
硬件相关：平台实现不同</x:v>
      </x:c>
      <x:c r="F12" s="1835" t="str">
        <x:v>修复AMD HY4 backbone compile路径；Ascend主干HY4仍依赖教程所指外部镜像，且NPU使用ACLgraph而非AMD骨干。</x:v>
      </x:c>
      <x:c r="G12" s="1835" t="str">
        <x:v>未发现需完整扫描的未知断点</x:v>
      </x:c>
      <x:c r="H12" s="1835" t="str">
        <x:v>公开判定摘要：模型分离可编译骨干，恢复图捕获减少eager开销。Ascend主干HY4未合入且图方案不同，可在NPU已支持模型借鉴compile骨干与能力回退设计。 最终路由：medium/idea-copy/P2；源码依据与局限见精确复核及测试页。</x:v>
      </x:c>
      <x:c r="I12" s="1838" t="str">
        <x:v>不移植上游平台代码；按NPU有效路径借鉴方法并验证</x:v>
      </x:c>
    </x:row>
    <x:row r="13" ht="174" customHeight="1">
      <x:c r="A13" s="1845" t="str">
        <x:v>#57651</x:v>
      </x:c>
      <x:c r="B13" s="1840" t="str">
        <x:v>skip / skip</x:v>
      </x:c>
      <x:c r="C13" s="1840" t="str">
        <x:v>旧映射候选（不等于冲突）：
vllm.config</x:v>
      </x:c>
      <x:c r="D13" s="1840" t="str">
        <x:v>none</x:v>
      </x:c>
      <x:c r="E13" s="1840" t="str">
        <x:v>不可用
已有等价处理：无本次新增收益</x:v>
      </x:c>
      <x:c r="F13" s="1840" t="str">
        <x:v>NPU自有NodeShardedEngram按节点分片，一rank一份无DP重复。patch_engram_config.verify_model_config拒绝显式共享开关，但上游新resolve_dp_shared_memory在verify后运行，auto None可后续变True；NPU不消费该GPU选项。</x:v>
      </x:c>
      <x:c r="G13" s="1840" t="str">
        <x:v>已知适配点：NPU自有NodeShardedEngram按节点分片，一rank一份无DP重复。patch_engram_config.verify_model_config拒绝显式共享开关，但上游新resolve_dp_shared_memory在verify后运行，auto None可后续变True；NPU不消费该GPU选项。</x:v>
      </x:c>
      <x:c r="H13" s="1840" t="str">
        <x:v>公开判定摘要：同节点DP Engram自动共享host表，避免重复分配。NPU NodeShardedEngram已有跨节点/节点内分片，无同一DP重复表；配置接口漂移另列必改。 最终路由：none/skip/skip；源码依据与局限见精确复核及测试页。</x:v>
      </x:c>
      <x:c r="I13" s="1843" t="str">
        <x:v>新增收益不计；已确认的配置/接口适配仍须执行，详见功能接口页</x:v>
      </x:c>
    </x:row>
    <x:row r="14" ht="70" customHeight="1">
      <x:c r="A14" s="1846" t="str">
        <x:v>#54535</x:v>
      </x:c>
      <x:c r="B14" s="1847" t="str">
        <x:v>P2 / idea-copy</x:v>
      </x:c>
      <x:c r="C14" s="1847" t="str">
        <x:v>无旧映射命中；仍按源码复核</x:v>
      </x:c>
      <x:c r="D14" s="1847" t="str">
        <x:v>csrc/attention</x:v>
      </x:c>
      <x:c r="E14" s="1847" t="str">
        <x:v>平台差异可借鉴
硬件相关：平台实现不同</x:v>
      </x:c>
      <x:c r="F14" s="1847" t="str">
        <x:v>NPU MiniMax-M3 _sparse_prepare已有主QK的qkv_rmsnorm_rope或独立norm，index_q/index_k另做GemmaRMSNorm，不消费AITER LBHNC/SHUFFLE。可评估剩余两路/四路融合但先排除已有融合部分。</x:v>
      </x:c>
      <x:c r="G14" s="1847" t="str">
        <x:v>未发现需完整扫描的未知断点</x:v>
      </x:c>
      <x:c r="H14" s="1847" t="str">
        <x:v>公开判定摘要：MiniMax-M3融合四路QK norm并使用FP8 index_q。AITER packed LBHNC与NPU布局不同，可借鉴四路norm/量化融合；收益须按NPU路径实测。 最终路由：medium/idea-copy/P2；源码依据与局限见精确复核及测试页。</x:v>
      </x:c>
      <x:c r="I14" s="1850" t="str">
        <x:v>不移植上游平台代码；按NPU有效路径借鉴方法并验证</x:v>
      </x:c>
    </x:row>
    <x:row r="15" ht="160.5" customHeight="1">
      <x:c r="A15" s="1851" t="str">
        <x:v>#45635</x:v>
      </x:c>
      <x:c r="B15" s="1851" t="str">
        <x:v>P2 / idea-copy</x:v>
      </x:c>
      <x:c r="C15" s="1851" t="str">
        <x:v>旧映射候选（不等于冲突）：
vllm.config
vllm.v1.worker.gpu_model_runner</x:v>
      </x:c>
      <x:c r="D15" s="1851" t="str">
        <x:v>python-adapter</x:v>
      </x:c>
      <x:c r="E15" s="1851" t="str">
        <x:v>收益不明确待验证
硬件无关：有效路径及收益需POC</x:v>
      </x:c>
      <x:c r="F15" s="1853" t="str">
        <x:v>Ascend V1仍从vllm.v1.outputs导入已删除RoutedExpertsLists/Tensors，V1/V2仍调用已删除init_routed_experts_capturer；自有capture patch含DP/SP切片。新AuxOutput Connector没有自动接入自有初始化链。</x:v>
      </x:c>
      <x:c r="G15" s="1851" t="str">
        <x:v>已知适配点：Ascend V1仍从vllm.v1.outputs导入已删除RoutedExpertsLists/Tensors，V1/V2仍调用已删除init_routed_experts_capturer；自有capture patch含DP/SP切片。新AuxOutput Connector没有自动接入自有初始化链。</x:v>
      </x:c>
      <x:c r="H15" s="1853" t="str">
        <x:v>公开判定摘要：Routed-experts按KV hash持久化并异步发布，降低输出生命周期耦合。NPU已确认内部类型/初始化断点必须适配；额外复制/持久化的净性能收益未证实，单列POC。 最终路由：medium/idea-copy/P2；源码依据与局限见精确复核及测试页。</x:v>
      </x:c>
      <x:c r="I15" s="1853" t="str">
        <x:v>先完成已确认的接口适配与正确性回归；再独立验证性能收益，详见功能接口页</x:v>
      </x:c>
    </x:row>
    <x:row r="16" ht="70" customHeight="1">
      <x:c r="A16" s="1854" t="str">
        <x:v>#57869</x:v>
      </x:c>
      <x:c r="B16" s="1854" t="str">
        <x:v>P2 / idea-copy</x:v>
      </x:c>
      <x:c r="C16" s="1854" t="str">
        <x:v>无旧映射命中；仍按源码复核</x:v>
      </x:c>
      <x:c r="D16" s="1854" t="str">
        <x:v>python-adapter</x:v>
      </x:c>
      <x:c r="E16" s="1854" t="str">
        <x:v>平台差异可借鉴
硬件相关：平台实现不同</x:v>
      </x:c>
      <x:c r="F16" s="1856" t="str">
        <x:v>Ascend tests/e2e/conftest.py自有HfRunner，未直接消费上游is_rocm门禁的device-loading改动；NPU直接加载的dtype、host/device双峰应分别核对。</x:v>
      </x:c>
      <x:c r="G16" s="1854" t="str">
        <x:v>未发现需完整扫描的未知断点</x:v>
      </x:c>
      <x:c r="H16" s="1856" t="str">
        <x:v>公开判定摘要：原生FP32参考模型直接设备加载，减少测试host内存峰值。优化分支只在ROCm HfRunner执行，NPU自有runner需评估加载生命周期和设备容量后借鉴。 最终路由：medium/idea-copy/P2；源码依据与局限见精确复核及测试页。</x:v>
      </x:c>
      <x:c r="I16" s="1856" t="str">
        <x:v>不移植上游平台代码；按NPU有效路径借鉴方法并验证</x:v>
      </x:c>
    </x:row>
    <x:row r="17" ht="70" customHeight="1">
      <x:c r="A17" s="1851" t="str">
        <x:v>#52362</x:v>
      </x:c>
      <x:c r="B17" s="1851" t="str">
        <x:v>P2 / idea-copy</x:v>
      </x:c>
      <x:c r="C17" s="1851" t="str">
        <x:v>无旧映射命中；仍按源码复核</x:v>
      </x:c>
      <x:c r="D17" s="1851" t="str">
        <x:v>python-adapter</x:v>
      </x:c>
      <x:c r="E17" s="1851" t="str">
        <x:v>收益不明确待验证
硬件无关：有效路径及收益需POC</x:v>
      </x:c>
      <x:c r="F17" s="1853" t="str">
        <x:v>Ascend DSpark已有confidence_head构造、checkpoint remap与compute_confidence；新增AMD变长FULL图/indexer链不会自动证明NPU ragged metadata兼容。</x:v>
      </x:c>
      <x:c r="G17" s="1851" t="str">
        <x:v>未发现需完整扫描的未知断点</x:v>
      </x:c>
      <x:c r="H17" s="1853" t="str">
        <x:v>公开判定摘要：DSpark按confidence自适应draft长度并支持变长验证。NPU已有confidence head，但自适应预算/变长ACLgraph是否完整可达和净收益未证实，先POC。 最终路由：medium/idea-copy/P2；源码依据与局限见精确复核及测试页。</x:v>
      </x:c>
      <x:c r="I17" s="1853" t="str">
        <x:v>先做NPU profiling/最小POC，收益成立后再实现</x:v>
      </x:c>
    </x:row>
    <x:row r="18" ht="70" customHeight="1">
      <x:c r="A18" s="1854" t="str">
        <x:v>#55001</x:v>
      </x:c>
      <x:c r="B18" s="1854" t="str">
        <x:v>P2 / idea-copy</x:v>
      </x:c>
      <x:c r="C18" s="1854" t="str">
        <x:v>无旧映射命中；仍按源码复核</x:v>
      </x:c>
      <x:c r="D18" s="1854" t="str">
        <x:v>csrc/gmm</x:v>
      </x:c>
      <x:c r="E18" s="1854" t="str">
        <x:v>平台差异可借鉴
硬件相关：平台实现不同</x:v>
      </x:c>
      <x:c r="F18" s="1856" t="str">
        <x:v>NPU自有量化/矩阵乘不调用AITER tuned配置查询，无gfx950/CU和packedK相同协议；可借鉴配置事实源，不存在本次AITER缺陷直接承接。</x:v>
      </x:c>
      <x:c r="G18" s="1854" t="str">
        <x:v>未发现需完整扫描的未知断点</x:v>
      </x:c>
      <x:c r="H18" s="1856" t="str">
        <x:v>公开判定摘要：使用调优库原生配置查询替代硬编码GEMM选核名单。NPU不调用AITER，gfx/CU及packedK不可迁移；可借鉴统一调优事实源和缓存查询原则。 最终路由：medium/idea-copy/P2；源码依据与局限见精确复核及测试页。</x:v>
      </x:c>
      <x:c r="I18" s="1856" t="str">
        <x:v>不移植上游平台代码；按NPU有效路径借鉴方法并验证</x:v>
      </x:c>
    </x:row>
    <x:row r="19" ht="70" customHeight="1">
      <x:c r="A19"/>
      <x:c r="B19"/>
      <x:c r="C19"/>
      <x:c r="D19"/>
      <x:c r="E19"/>
      <x:c r="F19"/>
      <x:c r="G19"/>
      <x:c r="H19"/>
      <x:c r="I19"/>
    </x:row>
    <x:row r="20" ht="70" customHeight="1">
      <x:c r="A20"/>
      <x:c r="B20"/>
      <x:c r="C20"/>
      <x:c r="D20"/>
      <x:c r="E20"/>
      <x:c r="F20"/>
      <x:c r="G20"/>
      <x:c r="H20"/>
      <x:c r="I20"/>
    </x:row>
    <x:row r="21" ht="70" customHeight="1">
      <x:c r="A21"/>
      <x:c r="B21"/>
      <x:c r="C21"/>
      <x:c r="D21"/>
      <x:c r="E21"/>
      <x:c r="F21"/>
      <x:c r="G21"/>
      <x:c r="H21"/>
      <x:c r="I21"/>
    </x:row>
    <x:row r="22" ht="70" customHeight="1">
      <x:c r="A22"/>
      <x:c r="B22"/>
      <x:c r="C22"/>
      <x:c r="D22"/>
      <x:c r="E22"/>
      <x:c r="F22"/>
      <x:c r="G22"/>
      <x:c r="H22"/>
      <x:c r="I22"/>
    </x:row>
    <x:row r="23" ht="70" customHeight="1">
      <x:c r="A23"/>
      <x:c r="B23"/>
      <x:c r="C23"/>
      <x:c r="D23"/>
      <x:c r="E23"/>
      <x:c r="F23"/>
      <x:c r="G23"/>
      <x:c r="H23"/>
      <x:c r="I23"/>
    </x:row>
    <x:row r="24" ht="70" customHeight="1">
      <x:c r="A24"/>
      <x:c r="B24"/>
      <x:c r="C24"/>
      <x:c r="D24"/>
      <x:c r="E24"/>
      <x:c r="F24"/>
      <x:c r="G24"/>
      <x:c r="H24"/>
      <x:c r="I24"/>
    </x:row>
    <x:row r="25" ht="70" customHeight="1">
      <x:c r="A25"/>
      <x:c r="B25"/>
      <x:c r="C25"/>
      <x:c r="D25"/>
      <x:c r="E25"/>
      <x:c r="F25"/>
      <x:c r="G25"/>
      <x:c r="H25"/>
      <x:c r="I25"/>
    </x:row>
    <x:row r="26" ht="70" customHeight="1">
      <x:c r="A26"/>
      <x:c r="B26"/>
      <x:c r="C26"/>
      <x:c r="D26"/>
      <x:c r="E26"/>
      <x:c r="F26"/>
      <x:c r="G26"/>
      <x:c r="H26"/>
      <x:c r="I26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927fccdf84f3488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55" hidden="0" customWidth="1"/>
    <x:col min="4" max="4" width="55" hidden="0" customWidth="1"/>
    <x:col min="5" max="5" width="58" hidden="0" customWidth="1"/>
    <x:col min="6" max="6" width="32" hidden="0" customWidth="1"/>
  </x:cols>
  <x:sheetData>
    <x:row r="1" ht="30" customHeight="1">
      <x:c r="A1" s="71" t="str">
        <x:v>上游测试条件、可核验收益与 NPU 验证</x:v>
      </x:c>
      <x:c r="B1" s="71"/>
      <x:c r="C1" s="71"/>
      <x:c r="D1" s="71"/>
      <x:c r="E1" s="71"/>
      <x:c r="F1" s="71"/>
    </x:row>
    <x:row r="2" ht="34" customHeight="1">
      <x:c r="A2" s="8" t="str">
        <x:v>收益只填PR可核验数据；未提供A/B的记录明确注明，不把GPU结果外推到NPU。</x:v>
      </x:c>
      <x:c r="B2" s="8"/>
      <x:c r="C2" s="8"/>
      <x:c r="D2" s="8"/>
      <x:c r="E2" s="8"/>
      <x:c r="F2" s="8"/>
    </x:row>
    <x:row r="4" ht="34" customHeight="1">
      <x:c r="A4" s="1828" t="str">
        <x:v>PR</x:v>
      </x:c>
      <x:c r="B4" s="1828" t="str">
        <x:v>第一责任人</x:v>
      </x:c>
      <x:c r="C4" s="1828" t="str">
        <x:v>上游测试条件</x:v>
      </x:c>
      <x:c r="D4" s="1828" t="str">
        <x:v>PR可核验结果</x:v>
      </x:c>
      <x:c r="E4" s="1828" t="str">
        <x:v>NPU验证方案</x:v>
      </x:c>
      <x:c r="F4" s="1828" t="str">
        <x:v>关注KPI</x:v>
      </x:c>
    </x:row>
    <x:row r="5" ht="70" customHeight="1">
      <x:c r="A5" s="1866" t="str">
        <x:v>#57603</x:v>
      </x:c>
      <x:c r="B5" s="1867" t="str">
        <x:v>曾彦嘉</x:v>
      </x:c>
      <x:c r="C5" s="1868" t="str">
        <x:v>4×GB200；DeepSeek V4.1、TP4、无DSpark；forward微基准与端到端分开。端到端输入8K输出1K、并发1、10请求、2次预热。</x:v>
      </x:c>
      <x:c r="D5" s="1868" t="str">
        <x:v>最新head GB200×4 TP4：KV8704 forward约4.727/4.730→4.657ms（约1.5%）；8K/1K C1 TPOT5.013→4.992ms，P99 ITL5.228→6.049ms变差。</x:v>
      </x:c>
      <x:c r="E5" s="1868" t="str">
        <x:v>NPU profile hc系数与attention/FFN依赖，验证旁路流可用及同步成本；仅在数据依赖可隔离的小batch试验，覆盖eager/ACLgraph和P99，不引用旧head较大收益。</x:v>
      </x:c>
      <x:c r="F5" s="1869" t="str">
        <x:v>forward时延、TPOT、P99 ITL；NPU收益待实测，不预填。</x:v>
      </x:c>
    </x:row>
    <x:row r="6" ht="70" customHeight="1">
      <x:c r="A6" s="1834" t="str">
        <x:v>#57491</x:v>
      </x:c>
      <x:c r="B6" s="1835" t="str">
        <x:v>王小超</x:v>
      </x:c>
      <x:c r="C6" s="1837" t="str">
        <x:v>ROCm DeepSeek V4.1，TP4及TP2/DP2；容量与decode指标不同口径，完整输入输出/重复轮次未披露，不扩展为普遍吞吐收益。</x:v>
      </x:c>
      <x:c r="D6" s="1837" t="str">
        <x:v>ROCm TP4 KV容量107.8→154.38GiB（+43.2%），TP2/DP2报告+162.7%；TPOT11.35ms持平，吞吐620.64→620.61 token/s。</x:v>
      </x:c>
      <x:c r="E6" s="1837" t="str">
        <x:v>保留NPU映射/INT8与scale布局；回归host表容量、访问正确性和pin生命周期，不重复计量上游ROCm节省。</x:v>
      </x:c>
      <x:c r="F6" s="1838" t="str">
        <x:v>KV可用GiB、TPOT与吞吐；NPU收益待实测，不预填。</x:v>
      </x:c>
    </x:row>
    <x:row r="7" ht="70" customHeight="1">
      <x:c r="A7" s="1870" t="str">
        <x:v>#57460</x:v>
      </x:c>
      <x:c r="B7" s="1871" t="str">
        <x:v>刘逸舟</x:v>
      </x:c>
      <x:c r="C7" s="1872" t="str">
        <x:v>上游torch profiler平台工厂覆盖CPU/CUDA/XPU；未披露完整硬件、模型、并发和输入输出benchmark条件。</x:v>
      </x:c>
      <x:c r="D7" s="1872" t="str">
        <x:v>PR未提供可核验性能A/B；重复profiler修复与减少无效注解机制分别跟踪，不填NPU节省比例。</x:v>
      </x:c>
      <x:c r="E7" s="1872" t="str">
        <x:v>NPU wrapper应显式实现或拒绝新增activities配置，核对should_annotate与CPU采集联动；用torch_npu能力表而非上游cpu/cuda/xpu工厂，重启问题先实测。分别记录含CPU/仅设备trace，确认注解数量及CPU时间，再评估收益。</x:v>
      </x:c>
      <x:c r="F7" s="1873" t="str">
        <x:v>注解事件数、CPU开销、profile启停耗时；NPU收益待实测，不预填。</x:v>
      </x:c>
    </x:row>
    <x:row r="8" ht="70" customHeight="1">
      <x:c r="A8" s="1834" t="str">
        <x:v>#57643</x:v>
      </x:c>
      <x:c r="B8" s="1835" t="str">
        <x:v>温捷</x:v>
      </x:c>
      <x:c r="C8" s="1837" t="str">
        <x:v>4×GB200；DSV4.1 TP4/DP1，KV8704、H5120、hc4、EP关闭、最多16 tokens；5轮×20replays。不含lm_head、采样、调度及HTTP。</x:v>
      </x:c>
      <x:c r="D8" s="1837" t="str">
        <x:v>最新配对GB200×4：B1 4.651→4.055ms（12.8%），B8 6.236→5.668（9.1%），B16 7.806→7.127（8.7%）；为forward微基准。</x:v>
      </x:c>
      <x:c r="E8" s="1837" t="str">
        <x:v>NPU先量测collective→hc→norm各段占比与搬运，再确定HCCL后处理融合/异步重叠能否实现；验证TP/EP/SP与图地址稳定，端到端复测均值及长尾。</x:v>
      </x:c>
      <x:c r="F8" s="1838" t="str">
        <x:v>forward时延、launch数、端到端TPOT；NPU收益待实测，不预填。</x:v>
      </x:c>
    </x:row>
    <x:row r="9" ht="70" customHeight="1">
      <x:c r="A9" s="1870" t="str">
        <x:v>#57277</x:v>
      </x:c>
      <x:c r="B9" s="1871" t="str">
        <x:v>田馥玮</x:v>
      </x:c>
      <x:c r="C9" s="1872" t="str">
        <x:v>XPU型号未披露；Qwen3-0.6B、输入128输出256，batch1/32、3轮预热100轮迭代；seed、greedy和logprob条件影响分派。</x:v>
      </x:c>
      <x:c r="D9" s="1872" t="str">
        <x:v>XPU Qwen3-0.6B，batch32耗时4.461546885→3.824720986秒；batch1 3.916488→3.484435秒。不是NPU结果。</x:v>
      </x:c>
      <x:c r="E9" s="1872" t="str">
        <x:v>NPU profile完整排序及概率buffer；若为瓶颈，按NPU采样算法融合top-k/top-p，覆盖逐请求seed、greedy、temperature和logprobs回退及统计分布。</x:v>
      </x:c>
      <x:c r="F9" s="1873" t="str">
        <x:v>生成耗时、采样kernel时延、概率内存；NPU收益待实测，不预填。</x:v>
      </x:c>
    </x:row>
    <x:row r="10" ht="70" customHeight="1">
      <x:c r="A10" s="1834" t="str">
        <x:v>#57868</x:v>
      </x:c>
      <x:c r="B10" s="1835" t="str">
        <x:v>张新悦</x:v>
      </x:c>
      <x:c r="C10" s="1837" t="str">
        <x:v>上游生成模型prompt_embeds测试、HF参考模型；保留MiniCPM scale_emb。硬件型号、并发及输入输出长度未完整披露；非服务吞吐测量。</x:v>
      </x:c>
      <x:c r="D10" s="1837" t="str">
        <x:v>PR探针观察到退出HF后仍保留约16.47GB reserved；新增no_grad用于切断引用。未提供完整NPU或统一前后峰值表。</x:v>
      </x:c>
      <x:c r="E10" s="1837" t="str">
        <x:v>扫描NPU测试生成prompt_embeds是否保留grad_fn；在tensor生产处关闭autograd并检查输出一致、退出后权重引用和allocated/reserved，若无同类泄漏则关闭POC。</x:v>
      </x:c>
      <x:c r="F10" s="1838" t="str">
        <x:v>测试进程保留/峰值内存、权重引用生命周期；NPU收益待实测，不预填。</x:v>
      </x:c>
    </x:row>
    <x:row r="11" ht="70" customHeight="1">
      <x:c r="A11" s="1870" t="str">
        <x:v>#57885</x:v>
      </x:c>
      <x:c r="B11" s="1871" t="str">
        <x:v>陈梦龙</x:v>
      </x:c>
      <x:c r="C11" s="1872" t="str">
        <x:v>4×GB200，DeepSeek V4.1、TP4、无投机；8K输入/1K输出、并发1、8请求；统计样本较小。</x:v>
      </x:c>
      <x:c r="D11" s="1872" t="str">
        <x:v>GB200 TP4 DSV4.1：TPOT4.467→4.457ms基本持平；median ITL4.383→4.365ms。测试101通过8跳过；不声称明显端到端加速。</x:v>
      </x:c>
      <x:c r="E11" s="1872" t="str">
        <x:v>NPU逐步记录validity生成/copy和压缩长度计算；仅对真实冗余用out写入或prefill门禁，覆盖混合批、padding、异步和ACLgraph，对比提交时间与TPOT。</x:v>
      </x:c>
      <x:c r="F11" s="1873" t="str">
        <x:v>元数据提交时延、设备操作数、TPOT；NPU收益待实测，不预填。</x:v>
      </x:c>
    </x:row>
    <x:row r="12" ht="70" customHeight="1">
      <x:c r="A12" s="1834" t="str">
        <x:v>#57526</x:v>
      </x:c>
      <x:c r="B12" s="1835" t="str">
        <x:v>刘逸舟</x:v>
      </x:c>
      <x:c r="C12" s="1837" t="str">
        <x:v>ROCm HY4稀疏模型，新增AMD backbone及support_torch_compile；硬件、并发和输入输出benchmark未完整提供。</x:v>
      </x:c>
      <x:c r="D12" s="1837" t="str">
        <x:v>PR未给可复核性能A/B；恢复ROCm graph能力不能直接量化为吞吐提升。</x:v>
      </x:c>
      <x:c r="E12" s="1837" t="str">
        <x:v>在NPU已支持且有图捕获瓶颈的模型验证骨干/包装层职责分离，标明编译能力和回退条件，覆盖eager、ACLgraph与draft；不承诺本次支持HY4。</x:v>
      </x:c>
      <x:c r="F12" s="1838" t="str">
        <x:v>图捕获成功率、launch/TTFT/TPOT；NPU收益待实测，不预填。</x:v>
      </x:c>
    </x:row>
    <x:row r="13" ht="70" customHeight="1">
      <x:c r="A13" s="1870" t="str">
        <x:v>#57651</x:v>
      </x:c>
      <x:c r="B13" s="1871" t="str">
        <x:v>王小超</x:v>
      </x:c>
      <x:c r="C13" s="1872" t="str">
        <x:v>Engram同节点DP、/dev/shm容量检查；模型、DP规模、完整host内存测量未披露。</x:v>
      </x:c>
      <x:c r="D13" s="1872" t="str">
        <x:v>PR未提供完整可核验内存/时延A/B；自动解析和容量不足回退是可见机制，不编造节省比例。</x:v>
      </x:c>
      <x:c r="E13" s="1872" t="str">
        <x:v>明确NPU自动解析为自身分片能力或False，并统一后续校验顺序/用户提示；不能声称auto启动一定先抛错。验证DP&gt;1、单/多节点、显式True/False/None及host容量。</x:v>
      </x:c>
      <x:c r="F13" s="1873" t="str">
        <x:v>host RSS、重复表份数、加载时间；NPU收益待实测，不预填。</x:v>
      </x:c>
    </x:row>
    <x:row r="14" ht="70" customHeight="1">
      <x:c r="A14" s="1846" t="str">
        <x:v>#54535</x:v>
      </x:c>
      <x:c r="B14" s="1847" t="str">
        <x:v>曾彦嘉</x:v>
      </x:c>
      <x:c r="C14" s="1849" t="str">
        <x:v>AMD MI355/gfx950、MiniMax-M3、TP4、FP8 KV block128，并发4/32；完整输入输出长度和重复轮次未披露。</x:v>
      </x:c>
      <x:c r="D14" s="1849" t="str">
        <x:v>MI355 gfx950 TP4，FP8 KV block128：并发4吞吐4391.71→4651.97（+5.9%）；并发32 15691.37→16120.43（+2.7%）。</x:v>
      </x:c>
      <x:c r="E14" s="1849" t="str">
        <x:v>NPU记录四路输入布局、dtype和norm时间，在不改变缓存尺度/重排的前提融合；比较不同token数，做逐层误差、长上下文和整模精度验证。</x:v>
      </x:c>
      <x:c r="F14" s="1850" t="str">
        <x:v>吞吐、norm/cast kernel时延、精度；NPU收益待实测，不预填。</x:v>
      </x:c>
    </x:row>
    <x:row r="15" ht="70" customHeight="1">
      <x:c r="A15" s="1874" t="str">
        <x:v>#45635</x:v>
      </x:c>
      <x:c r="B15" s="1874" t="str">
        <x:v>温捷</x:v>
      </x:c>
      <x:c r="C15" s="1875" t="str">
        <x:v>2节点8×GB200，TP1/DP8/EP8，64请求、262144输入/1输出、0抢占；rename A/B不是最终异步D2H独立性能对照。</x:v>
      </x:c>
      <x:c r="D15" s="1875" t="str">
        <x:v>PR rename A/B：82741.42→82568.30 token/s（约-0.21%，无提升）；prefix复用R3 hash一致。长完整R3跨run比较有差异，不能当作全部正确性已证实。</x:v>
      </x:c>
      <x:c r="E15" s="1875" t="str">
        <x:v>迁移V1/V2类型、AuxOutput初始化/begin_step/prepare_output及pending输出，保留NPU DP/SP切片和流生命周期；先过import/初始化再验证prefix命中、拒绝采样及SHM回收。正确性闭环后再隔离异步输出开关做A/B，测D2H重叠、吞吐及SHM泄漏。</x:v>
      </x:c>
      <x:c r="F15" s="1875" t="str">
        <x:v>R3输出正确性、SHM峰值、吞吐、D2H重叠；NPU收益待实测，不预填。</x:v>
      </x:c>
    </x:row>
    <x:row r="16" ht="70" customHeight="1">
      <x:c r="A16" s="1854" t="str">
        <x:v>#57869</x:v>
      </x:c>
      <x:c r="B16" s="1854" t="str">
        <x:v>张新悦</x:v>
      </x:c>
      <x:c r="C16" s="1856" t="str">
        <x:v>ROCm HfRunner原生FP32且符合量化/remote-code等严格条件；两模型加载内存测量，非推理并发/输入输出benchmark。</x:v>
      </x:c>
      <x:c r="D16" s="1856" t="str">
        <x:v>ROCm测试PowerMoE host峰值20.26→15.96GiB；HyperCLOVAX83.74→58.80GiB。不是已证明CI OOM根因，未给NPU数据。</x:v>
      </x:c>
      <x:c r="E16" s="1856" t="str">
        <x:v>NPU先复现host峰值，满足原生FP32且无量化/remote code冲突才尝试直接设备加载；检查输出精度、设备OOM、失败清理与不支持模型fallback。</x:v>
      </x:c>
      <x:c r="F16" s="1856" t="str">
        <x:v>测试host RSS峰值、设备峰值与加载时间；NPU收益待实测，不预填。</x:v>
      </x:c>
    </x:row>
    <x:row r="17" ht="70" customHeight="1">
      <x:c r="A17" s="1874" t="str">
        <x:v>#52362</x:v>
      </x:c>
      <x:c r="B17" s="1874" t="str">
        <x:v>李泽桐</x:v>
      </x:c>
      <x:c r="C17" s="1875" t="str">
        <x:v>8×MI355，DSpark、TP8，ShareGPT880请求、输出512，并发4至256；固定K7基线，变长验证及FULL图要求需满足。</x:v>
      </x:c>
      <x:c r="D17" s="1875" t="str">
        <x:v>8×MI355 TP8 ShareGPT：自适应对固定K7，并发256吞吐+69.69%；并发4/8/16/32分别约-7%/-8.27%/-4.67%/-5.37%。</x:v>
      </x:c>
      <x:c r="E17" s="1875" t="str">
        <x:v>逐项核对NPU自适应draft预算、变长验证和ACLgraph能力；比较固定K与自适应在低/高并发的接受率、吞吐及尾延迟。先构造ragged验证边界、padding与拒绝采样一致性测试，再按并发分层决定启用策略。</x:v>
      </x:c>
      <x:c r="F17" s="1875" t="str">
        <x:v>输出吞吐、接受率、TPOT/P99、验证token数；NPU收益待实测，不预填。</x:v>
      </x:c>
    </x:row>
    <x:row r="18" ht="70" customHeight="1">
      <x:c r="A18" s="1854" t="str">
        <x:v>#55001</x:v>
      </x:c>
      <x:c r="B18" s="1854" t="str">
        <x:v>王锟鹏</x:v>
      </x:c>
      <x:c r="C18" s="1856" t="str">
        <x:v>gfx950，Llama3.3-70B MXFP4、TP1，输入1024输出128、200请求、并发16；以PR可核验A/B为限。</x:v>
      </x:c>
      <x:c r="D18" s="1856" t="str">
        <x:v>Llama3.3-70B MXFP4 gfx950 TP1：吞吐617.6→727.6（+17.8%），TPOT19.69→15.90ms（-19.2%）。</x:v>
      </x:c>
      <x:c r="E18" s="1856" t="str">
        <x:v>NPU审查GEMM调优库与适配层是否存在重复列表；统一dtype/packed单位、设备能力及shape键，缓存查询并保持未知shape安全fallback；微基准及整模回归。</x:v>
      </x:c>
      <x:c r="F18" s="1856" t="str">
        <x:v>吞吐、TPOT、tuned/fallback命中率；NPU收益待实测，不预填。</x:v>
      </x:c>
    </x:row>
    <x:row r="19" ht="70" customHeight="1">
      <x:c r="A19"/>
      <x:c r="B19"/>
      <x:c r="C19"/>
      <x:c r="D19"/>
      <x:c r="E19"/>
      <x:c r="F19"/>
    </x:row>
    <x:row r="20" ht="70" customHeight="1">
      <x:c r="A20"/>
      <x:c r="B20"/>
      <x:c r="C20"/>
      <x:c r="D20"/>
      <x:c r="E20"/>
      <x:c r="F20"/>
    </x:row>
    <x:row r="21" ht="70" customHeight="1">
      <x:c r="A21"/>
      <x:c r="B21"/>
      <x:c r="C21"/>
      <x:c r="D21"/>
      <x:c r="E21"/>
      <x:c r="F21"/>
    </x:row>
    <x:row r="22" ht="70" customHeight="1">
      <x:c r="A22"/>
      <x:c r="B22"/>
      <x:c r="C22"/>
      <x:c r="D22"/>
      <x:c r="E22"/>
      <x:c r="F22"/>
    </x:row>
    <x:row r="23" ht="70" customHeight="1">
      <x:c r="A23"/>
      <x:c r="B23"/>
      <x:c r="C23"/>
      <x:c r="D23"/>
      <x:c r="E23"/>
      <x:c r="F23"/>
    </x:row>
    <x:row r="24" ht="70" customHeight="1">
      <x:c r="A24"/>
      <x:c r="B24"/>
      <x:c r="C24"/>
      <x:c r="D24"/>
      <x:c r="E24"/>
      <x:c r="F24"/>
    </x:row>
    <x:row r="25" ht="70" customHeight="1">
      <x:c r="A25"/>
      <x:c r="B25"/>
      <x:c r="C25"/>
      <x:c r="D25"/>
      <x:c r="E25"/>
      <x:c r="F25"/>
    </x:row>
    <x:row r="26" ht="70" customHeight="1">
      <x:c r="A26"/>
      <x:c r="B26"/>
      <x:c r="C26"/>
      <x:c r="D26"/>
      <x:c r="E26"/>
      <x:c r="F26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01a4782e8554d5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2" hidden="0" customWidth="1"/>
    <x:col min="3" max="3" width="14" hidden="0" customWidth="1"/>
    <x:col min="4" max="4" width="14" hidden="0" customWidth="1"/>
    <x:col min="5" max="5" width="14" hidden="0" customWidth="1"/>
    <x:col min="6" max="6" width="58" hidden="0" customWidth="1"/>
    <x:col min="7" max="7" width="34" hidden="0" customWidth="1"/>
  </x:cols>
  <x:sheetData>
    <x:row r="1" ht="30" customHeight="1">
      <x:c r="A1" s="4" t="str">
        <x:v>PR Review 原始证据</x:v>
      </x:c>
      <x:c r="B1" s="4"/>
      <x:c r="C1" s="4"/>
      <x:c r="D1" s="4"/>
      <x:c r="E1" s="4"/>
      <x:c r="F1" s="4"/>
      <x:c r="G1" s="4"/>
    </x:row>
    <x:row r="2" ht="34" customHeight="1">
      <x:c r="A2" s="8" t="str">
        <x:v>保留Review、行级评论、Issue评论计数和PR原始URL；机器人状态评论不单独决定迁移结论。</x:v>
      </x:c>
      <x:c r="B2" s="8"/>
      <x:c r="C2" s="8"/>
      <x:c r="D2" s="8"/>
      <x:c r="E2" s="8"/>
      <x:c r="F2" s="8"/>
      <x:c r="G2" s="8"/>
    </x:row>
    <x:row r="4" ht="34" customHeight="1">
      <x:c r="A4" s="1828" t="str">
        <x:v>PR</x:v>
      </x:c>
      <x:c r="B4" s="1828" t="str">
        <x:v>标题</x:v>
      </x:c>
      <x:c r="C4" s="1828" t="str">
        <x:v>Review正文数</x:v>
      </x:c>
      <x:c r="D4" s="1828" t="str">
        <x:v>行级评论数</x:v>
      </x:c>
      <x:c r="E4" s="1828" t="str">
        <x:v>Issue评论数</x:v>
      </x:c>
      <x:c r="F4" s="1828" t="str">
        <x:v>影响结论的Review摘要</x:v>
      </x:c>
      <x:c r="G4" s="1828" t="str">
        <x:v>原始证据URL</x:v>
      </x:c>
    </x:row>
    <x:row r="5" ht="70" customHeight="1">
      <x:c r="A5" s="1865" t="str">
        <x:v>#57603</x:v>
      </x:c>
      <x:c r="B5" s="1830" t="str">
        <x:v>[Perf][DSV4.1] Overlap mHC coefficients for small TP batches</x:v>
      </x:c>
      <x:c r="C5" s="1876" t="n">
        <x:v>1</x:v>
      </x:c>
      <x:c r="D5" s="1876" t="n">
        <x:v>0</x:v>
      </x:c>
      <x:c r="E5" s="1876" t="n">
        <x:v>2</x:v>
      </x:c>
      <x:c r="F5" s="1832" t="str">
        <x:v>4.55%属于旧head，不作为最终稳定收益；上游部分长尾退化，NPU必须端到端复测。</x:v>
      </x:c>
      <x:c r="G5" s="1833" t="str">
        <x:v>https://github.com/vllm-project/vllm/pull/57603</x:v>
      </x:c>
    </x:row>
    <x:row r="6" ht="70" customHeight="1">
      <x:c r="A6" s="1834" t="str">
        <x:v>#57491</x:v>
      </x:c>
      <x:c r="B6" s="1835" t="str">
        <x:v>[ROCm][DSv4.1] Keep the Engram tables in host memory on ROCm</x:v>
      </x:c>
      <x:c r="C6" s="1877" t="n">
        <x:v>6</x:v>
      </x:c>
      <x:c r="D6" s="1877" t="n">
        <x:v>0</x:v>
      </x:c>
      <x:c r="E6" s="1877" t="n">
        <x:v>19</x:v>
      </x:c>
      <x:c r="F6" s="1837" t="str">
        <x:v>容量收益不是吞吐加速；NPU host注册及INT8行/FP32 scales是不同实现。</x:v>
      </x:c>
      <x:c r="G6" s="1838" t="str">
        <x:v>https://github.com/vllm-project/vllm/pull/57491</x:v>
      </x:c>
    </x:row>
    <x:row r="7" ht="70" customHeight="1">
      <x:c r="A7" s="1845" t="str">
        <x:v>#57460</x:v>
      </x:c>
      <x:c r="B7" s="1840" t="str">
        <x:v>[Profiler] Unify platform-aware torch profiling</x:v>
      </x:c>
      <x:c r="C7" s="1878" t="n">
        <x:v>1</x:v>
      </x:c>
      <x:c r="D7" s="1878" t="n">
        <x:v>0</x:v>
      </x:c>
      <x:c r="E7" s="1878" t="n">
        <x:v>6</x:v>
      </x:c>
      <x:c r="F7" s="1842" t="str">
        <x:v>NPU没有调用上游拒绝npu参数的新factory，不能误报为工厂立即报错；torch_npu多轮复用兼容性仍待实测。</x:v>
      </x:c>
      <x:c r="G7" s="1843" t="str">
        <x:v>https://github.com/vllm-project/vllm/pull/57460</x:v>
      </x:c>
    </x:row>
    <x:row r="8" ht="70" customHeight="1">
      <x:c r="A8" s="1834" t="str">
        <x:v>#57643</x:v>
      </x:c>
      <x:c r="B8" s="1835" t="str">
        <x:v>[Perf][DSV4.1] Fuse TP all-reduce with mHC input preparation</x:v>
      </x:c>
      <x:c r="C8" s="1877" t="n">
        <x:v>1</x:v>
      </x:c>
      <x:c r="D8" s="1877" t="n">
        <x:v>0</x:v>
      </x:c>
      <x:c r="E8" s="1877" t="n">
        <x:v>5</x:v>
      </x:c>
      <x:c r="F8" s="1837" t="str">
        <x:v>历史serving约7.5%与不同warmup状态有关且尾部有退化，不当作稳定增益；#57842/#57843预热修复不在本窗口收益中混算。</x:v>
      </x:c>
      <x:c r="G8" s="1838" t="str">
        <x:v>https://github.com/vllm-project/vllm/pull/57643</x:v>
      </x:c>
    </x:row>
    <x:row r="9" ht="70" customHeight="1">
      <x:c r="A9" s="1845" t="str">
        <x:v>#57277</x:v>
      </x:c>
      <x:c r="B9" s="1840" t="str">
        <x:v>[MRV2][XPU] use xpu sample kernel in mrv2 sampler</x:v>
      </x:c>
      <x:c r="C9" s="1878" t="n">
        <x:v>3</x:v>
      </x:c>
      <x:c r="D9" s="1878" t="n">
        <x:v>0</x:v>
      </x:c>
      <x:c r="E9" s="1878" t="n">
        <x:v>6</x:v>
      </x:c>
      <x:c r="F9" s="1842" t="str">
        <x:v>不支持seed等场景必须保持fallback，不能只按模型和硬件启用。</x:v>
      </x:c>
      <x:c r="G9" s="1843" t="str">
        <x:v>https://github.com/vllm-project/vllm/pull/57277</x:v>
      </x:c>
    </x:row>
    <x:row r="10" ht="70" customHeight="1">
      <x:c r="A10" s="1834" t="str">
        <x:v>#57868</x:v>
      </x:c>
      <x:c r="B10" s="1835" t="str">
        <x:v>[Tests] Release HF embedding weights after prompt extraction</x:v>
      </x:c>
      <x:c r="C10" s="1877" t="n">
        <x:v>2</x:v>
      </x:c>
      <x:c r="D10" s="1877" t="n">
        <x:v>0</x:v>
      </x:c>
      <x:c r="E10" s="1877" t="n">
        <x:v>2</x:v>
      </x:c>
      <x:c r="F10" s="1837" t="str">
        <x:v>测试入口不同，不把修复上游测试等同当前NPU测试已修复；reserved是分配器口径，不等同全为活跃权重。</x:v>
      </x:c>
      <x:c r="G10" s="1838" t="str">
        <x:v>https://github.com/vllm-project/vllm/pull/57868</x:v>
      </x:c>
    </x:row>
    <x:row r="11" ht="70" customHeight="1">
      <x:c r="A11" s="1845" t="str">
        <x:v>#57885</x:v>
      </x:c>
      <x:c r="B11" s="1840" t="str">
        <x:v>[Perf][Attention] Avoid redundant sparse attention metadata operations</x:v>
      </x:c>
      <x:c r="C11" s="1878" t="n">
        <x:v>1</x:v>
      </x:c>
      <x:c r="D11" s="1878" t="n">
        <x:v>0</x:v>
      </x:c>
      <x:c r="E11" s="1878" t="n">
        <x:v>0</x:v>
      </x:c>
      <x:c r="F11" s="1842" t="str">
        <x:v>删除操作不必然带来可测服务收益；NPU若已有复用则无新增收益。</x:v>
      </x:c>
      <x:c r="G11" s="1843" t="str">
        <x:v>https://github.com/vllm-project/vllm/pull/57885</x:v>
      </x:c>
    </x:row>
    <x:row r="12" ht="70" customHeight="1">
      <x:c r="A12" s="1834" t="str">
        <x:v>#57526</x:v>
      </x:c>
      <x:c r="B12" s="1835" t="str">
        <x:v>[Perf][ROCm] Add a ROCm path for Hy4 and compile the backbone</x:v>
      </x:c>
      <x:c r="C12" s="1835" t="n">
        <x:v>2</x:v>
      </x:c>
      <x:c r="D12" s="1835" t="n">
        <x:v>0</x:v>
      </x:c>
      <x:c r="E12" s="1835" t="n">
        <x:v>11</x:v>
      </x:c>
      <x:c r="F12" s="1837" t="str">
        <x:v>不是简单打装饰器即可跨平台使用，注册路径和backend算子能力必须先满足。</x:v>
      </x:c>
      <x:c r="G12" s="1838" t="str">
        <x:v>https://github.com/vllm-project/vllm/pull/57526</x:v>
      </x:c>
    </x:row>
    <x:row r="13" ht="70" customHeight="1">
      <x:c r="A13" s="1845" t="str">
        <x:v>#57651</x:v>
      </x:c>
      <x:c r="B13" s="1840" t="str">
        <x:v>[Model][Engram] Share host tables across co-located DP replicas by default</x:v>
      </x:c>
      <x:c r="C13" s="1840" t="n">
        <x:v>2</x:v>
      </x:c>
      <x:c r="D13" s="1840" t="n">
        <x:v>0</x:v>
      </x:c>
      <x:c r="E13" s="1840" t="n">
        <x:v>6</x:v>
      </x:c>
      <x:c r="F13" s="1842" t="str">
        <x:v>不能把上游解析后auto=True等同NPU实际启用共享内存；NPU自己的分片实现已经避免重复，不计新增收益。</x:v>
      </x:c>
      <x:c r="G13" s="1843" t="str">
        <x:v>https://github.com/vllm-project/vllm/pull/57651</x:v>
      </x:c>
    </x:row>
    <x:row r="14" ht="70" customHeight="1">
      <x:c r="A14" s="1846" t="str">
        <x:v>#54535</x:v>
      </x:c>
      <x:c r="B14" s="1847" t="str">
        <x:v>[AMD][Minimax-M3][perf] Enable packed LBHNC AITER QK-norm fusion for MiniMax-M3 on ROCm</x:v>
      </x:c>
      <x:c r="C14" s="1847" t="n">
        <x:v>7</x:v>
      </x:c>
      <x:c r="D14" s="1847" t="n">
        <x:v>4</x:v>
      </x:c>
      <x:c r="E14" s="1847" t="n">
        <x:v>21</x:v>
      </x:c>
      <x:c r="F14" s="1849" t="str">
        <x:v>AITER能力缺失须回退；上游FP8指数/打包与NPU格式不同，不能照搬scale约定。</x:v>
      </x:c>
      <x:c r="G14" s="1850" t="str">
        <x:v>https://github.com/vllm-project/vllm/pull/54535</x:v>
      </x:c>
    </x:row>
    <x:row r="15" ht="70" customHeight="1">
      <x:c r="A15" s="1851" t="str">
        <x:v>#45635</x:v>
      </x:c>
      <x:c r="B15" s="1851" t="str">
        <x:v>[AuxOutput] Add block-keyed storage for routed-expert outputs</x:v>
      </x:c>
      <x:c r="C15" s="1851" t="n">
        <x:v>17</x:v>
      </x:c>
      <x:c r="D15" s="1851" t="n">
        <x:v>26</x:v>
      </x:c>
      <x:c r="E15" s="1851" t="n">
        <x:v>89</x:v>
      </x:c>
      <x:c r="F15" s="1853" t="str">
        <x:v>接口适配是确定任务，性能提升不是；不要因归为收益待验证而遗漏功能接口表P1。</x:v>
      </x:c>
      <x:c r="G15" s="1853" t="str">
        <x:v>https://github.com/vllm-project/vllm/pull/45635</x:v>
      </x:c>
    </x:row>
    <x:row r="16" ht="70" customHeight="1">
      <x:c r="A16" s="1854" t="str">
        <x:v>#57869</x:v>
      </x:c>
      <x:c r="B16" s="1854" t="str">
        <x:v>[ROCm][Tests] Reduce host memory when downcasting FP32 HF references</x:v>
      </x:c>
      <x:c r="C16" s="1854" t="n">
        <x:v>2</x:v>
      </x:c>
      <x:c r="D16" s="1854" t="n">
        <x:v>0</x:v>
      </x:c>
      <x:c r="E16" s="1854" t="n">
        <x:v>4</x:v>
      </x:c>
      <x:c r="F16" s="1856" t="str">
        <x:v>不能为了降host峰值把设备峰值推过容量；staged路径保留，严格门禁不可删。</x:v>
      </x:c>
      <x:c r="G16" s="1856" t="str">
        <x:v>https://github.com/vllm-project/vllm/pull/57869</x:v>
      </x:c>
    </x:row>
    <x:row r="17" ht="70" customHeight="1">
      <x:c r="A17" s="1851" t="str">
        <x:v>#52362</x:v>
      </x:c>
      <x:c r="B17" s="1851" t="str">
        <x:v>[ROCm][DSv4] Enable DSpark adaptive verification</x:v>
      </x:c>
      <x:c r="C17" s="1851" t="n">
        <x:v>2</x:v>
      </x:c>
      <x:c r="D17" s="1851" t="n">
        <x:v>0</x:v>
      </x:c>
      <x:c r="E17" s="1851" t="n">
        <x:v>17</x:v>
      </x:c>
      <x:c r="F17" s="1853" t="str">
        <x:v>NPU并非缺少confidence head，不能建议重复实现；高并发提升与低并发回退必须一起呈现。</x:v>
      </x:c>
      <x:c r="G17" s="1853" t="str">
        <x:v>https://github.com/vllm-project/vllm/pull/52362</x:v>
      </x:c>
    </x:row>
    <x:row r="18" ht="70" customHeight="1">
      <x:c r="A18" s="1854" t="str">
        <x:v>#55001</x:v>
      </x:c>
      <x:c r="B18" s="1854" t="str">
        <x:v>[ROCm] Refactor tuned gemms</x:v>
      </x:c>
      <x:c r="C18" s="1854" t="n">
        <x:v>5</x:v>
      </x:c>
      <x:c r="D18" s="1854" t="n">
        <x:v>2</x:v>
      </x:c>
      <x:c r="E18" s="1854" t="n">
        <x:v>21</x:v>
      </x:c>
      <x:c r="F18" s="1856" t="str">
        <x:v>本PR既修选核正确性又有性能A/B，分别入Bugfix与优化；不把ROCm收益外推NPU。</x:v>
      </x:c>
      <x:c r="G18" s="1856" t="str">
        <x:v>https://github.com/vllm-project/vllm/pull/55001</x:v>
      </x:c>
    </x:row>
    <x:row r="19" ht="70" customHeight="1">
      <x:c r="A19"/>
      <x:c r="B19"/>
      <x:c r="C19"/>
      <x:c r="D19"/>
      <x:c r="E19"/>
      <x:c r="F19"/>
      <x:c r="G19"/>
    </x:row>
    <x:row r="20" ht="70" customHeight="1">
      <x:c r="A20"/>
      <x:c r="B20"/>
      <x:c r="C20"/>
      <x:c r="D20"/>
      <x:c r="E20"/>
      <x:c r="F20"/>
      <x:c r="G20"/>
    </x:row>
    <x:row r="21" ht="70" customHeight="1">
      <x:c r="A21"/>
      <x:c r="B21"/>
      <x:c r="C21"/>
      <x:c r="D21"/>
      <x:c r="E21"/>
      <x:c r="F21"/>
      <x:c r="G21"/>
    </x:row>
    <x:row r="22" ht="70" customHeight="1">
      <x:c r="A22"/>
      <x:c r="B22"/>
      <x:c r="C22"/>
      <x:c r="D22"/>
      <x:c r="E22"/>
      <x:c r="F22"/>
      <x:c r="G22"/>
    </x:row>
    <x:row r="23" ht="70" customHeight="1">
      <x:c r="A23"/>
      <x:c r="B23"/>
      <x:c r="C23"/>
      <x:c r="D23"/>
      <x:c r="E23"/>
      <x:c r="F23"/>
      <x:c r="G23"/>
    </x:row>
    <x:row r="24" ht="70" customHeight="1">
      <x:c r="A24"/>
      <x:c r="B24"/>
      <x:c r="C24"/>
      <x:c r="D24"/>
      <x:c r="E24"/>
      <x:c r="F24"/>
      <x:c r="G24"/>
    </x:row>
    <x:row r="25" ht="70" customHeight="1">
      <x:c r="A25"/>
      <x:c r="B25"/>
      <x:c r="C25"/>
      <x:c r="D25"/>
      <x:c r="E25"/>
      <x:c r="F25"/>
      <x:c r="G25"/>
    </x:row>
    <x:row r="26" ht="70" customHeight="1">
      <x:c r="A26"/>
      <x:c r="B26"/>
      <x:c r="C26"/>
      <x:c r="D26"/>
      <x:c r="E26"/>
      <x:c r="F26"/>
      <x:c r="G26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93da53029ed45c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2" hidden="0" customWidth="1"/>
    <x:col min="3" max="3" width="92" hidden="0" customWidth="1"/>
  </x:cols>
  <x:sheetData>
    <x:row r="1" ht="30" customHeight="1">
      <x:c r="A1" s="4" t="str">
        <x:v>流水线、时间窗与版本锚点</x:v>
      </x:c>
      <x:c r="B1" s="4"/>
      <x:c r="C1" s="4"/>
    </x:row>
    <x:row r="2" ht="34" customHeight="1">
      <x:c r="A2" s="8" t="str">
        <x:v>GraphQL mergedAt保证窗口完整性；main-lys V3负责价值/迁移路由；pinned old/new/Ascend源码负责最终关系复核，只有常规追踪无法闭环时才触发main2main完整接口扫描。</x:v>
      </x:c>
      <x:c r="B2" s="8"/>
      <x:c r="C2" s="8"/>
    </x:row>
    <x:row r="4" ht="34" customHeight="1">
      <x:c r="A4" s="1828" t="str">
        <x:v>项目</x:v>
      </x:c>
      <x:c r="B4" s="1828" t="str">
        <x:v>值</x:v>
      </x:c>
      <x:c r="C4" s="1828" t="str">
        <x:v>来源/说明</x:v>
      </x:c>
    </x:row>
    <x:row r="5" ht="46" customHeight="1">
      <x:c r="A5" s="427" t="str">
        <x:v>流水线仓库</x:v>
      </x:c>
      <x:c r="B5" s="428" t="str">
        <x:v>SOMEONEUNSEEN/vllm-report</x:v>
      </x:c>
      <x:c r="C5" s="429" t="str">
        <x:v>https://github.com/SOMEONEUNSEEN/vllm-report/tree/main-lys/templates</x:v>
      </x:c>
    </x:row>
    <x:row r="6" ht="46" customHeight="1">
      <x:c r="A6" s="430" t="str">
        <x:v>main-lys HEAD</x:v>
      </x:c>
      <x:c r="B6" s="312" t="str">
        <x:v>2c815be15c4e094447c38d67f666e590492f4c28</x:v>
      </x:c>
      <x:c r="C6" s="313" t="str">
        <x:v>https://github.com/SOMEONEUNSEEN/vllm-report/commit/2c815be15c4e094447c38d67f666e590492f4c28</x:v>
      </x:c>
    </x:row>
    <x:row r="7" ht="46" customHeight="1">
      <x:c r="A7" s="431" t="str">
        <x:v>流程输入</x:v>
      </x:c>
      <x:c r="B7" s="432" t="str">
        <x:v>templates/SKILL.md + optimization_prompt.txt</x:v>
      </x:c>
      <x:c r="C7" s="433" t="str">
        <x:v>最新四阶段/12步V3流程；PR description、Review和architecture作为输入</x:v>
      </x:c>
    </x:row>
    <x:row r="8" ht="46" customHeight="1">
      <x:c r="A8" s="430" t="str">
        <x:v>原仓库程序执行</x:v>
      </x:c>
      <x:c r="B8" s="312" t="str">
        <x:v>scripts/deep_analyze.py；输入52条</x:v>
      </x:c>
      <x:c r="C8" s="313" t="str">
        <x:v>实际运行原程序；关键词输出 performance=0、bugfix=35、feature=11。其输出只作工作流归类参照；AI按最终diff/Review/源码识别14条优化。原始结果保留在pipeline-data。</x:v>
      </x:c>
    </x:row>
    <x:row r="9" ht="46" customHeight="1">
      <x:c r="A9" s="431" t="str">
        <x:v>程序边界</x:v>
      </x:c>
      <x:c r="B9" s="432" t="str">
        <x:v>精确窗口采集替代daily_refresh自然日采集</x:v>
      </x:c>
      <x:c r="C9" s="433" t="str">
        <x:v>daily_refresh按自然日重抓且会破坏滚动水位，因此未运行；未调用外部LLM_API_KEY服务。AI完成语义阶段并按仓库SKILL/Prompt/Schema路由，不声称未执行的外部模型程序已运行。</x:v>
      </x:c>
    </x:row>
    <x:row r="10" ht="46" customHeight="1">
      <x:c r="A10" s="430" t="str">
        <x:v>Skill/Prompt/Schema blob</x:v>
      </x:c>
      <x:c r="B10" s="312" t="str">
        <x:v>c544793f707dc8ee9e3158c685710e975b03f854 / b01765081d2a9aa6f2b1260b027c309894acf3b2 / 3e8f82c5013831f997452d32f8ff6c3725f201af</x:v>
      </x:c>
      <x:c r="C10" s="313" t="str">
        <x:v>GitHub pinned Contents与本地原文件逐字节一致</x:v>
      </x:c>
    </x:row>
    <x:row r="11" ht="46" customHeight="1">
      <x:c r="A11" s="431" t="str">
        <x:v>Schema</x:v>
      </x:c>
      <x:c r="B11" s="432" t="str">
        <x:v>UpstreamOptimizationRecordV3</x:v>
      </x:c>
      <x:c r="C11" s="433" t="str">
        <x:v>官方optimization_schema.json；严格校验通过</x:v>
      </x:c>
    </x:row>
    <x:row r="12" ht="46" customHeight="1">
      <x:c r="A12" s="430" t="str">
        <x:v>窗口开始</x:v>
      </x:c>
      <x:c r="B12" s="312" t="str">
        <x:v>2026-09-21 01:02:04.840（Asia/Hong_Kong）</x:v>
      </x:c>
      <x:c r="C12" s="313" t="str">
        <x:v>左闭</x:v>
      </x:c>
    </x:row>
    <x:row r="13" ht="46" customHeight="1">
      <x:c r="A13" s="431" t="str">
        <x:v>窗口cutoff</x:v>
      </x:c>
      <x:c r="B13" s="432" t="str">
        <x:v>2026-09-22 01:00:58.960（Asia/Hong_Kong）</x:v>
      </x:c>
      <x:c r="C13" s="433" t="str">
        <x:v>右开</x:v>
      </x:c>
    </x:row>
    <x:row r="14" ht="46" customHeight="1">
      <x:c r="A14" s="430" t="str">
        <x:v>vLLM old SHA</x:v>
      </x:c>
      <x:c r="B14" s="312" t="str">
        <x:v>49ee12d742b4a5524d2a3a3ee6c3fb77e4913073</x:v>
      </x:c>
      <x:c r="C14" s="313" t="str">
        <x:v>起点前最后main提交</x:v>
      </x:c>
    </x:row>
    <x:row r="15" ht="46" customHeight="1">
      <x:c r="A15" s="431" t="str">
        <x:v>vLLM cutoff SHA</x:v>
      </x:c>
      <x:c r="B15" s="432" t="str">
        <x:v>986e217158a9ed54eca8307c6bb9abac7c5b2278</x:v>
      </x:c>
      <x:c r="C15" s="433" t="str">
        <x:v>https://github.com/vllm-project/vllm/commit/986e217158a9ed54eca8307c6bb9abac7c5b2278</x:v>
      </x:c>
    </x:row>
    <x:row r="16" ht="46" customHeight="1">
      <x:c r="A16" s="430" t="str">
        <x:v>vllm-ascend SHA</x:v>
      </x:c>
      <x:c r="B16" s="312" t="str">
        <x:v>baa023ada41a5b889cac6249845a688aab130892</x:v>
      </x:c>
      <x:c r="C16" s="313" t="str">
        <x:v>https://github.com/vllm-project/vllm-ascend/commit/baa023ada41a5b889cac6249845a688aab130892</x:v>
      </x:c>
    </x:row>
    <x:row r="17" ht="46" customHeight="1">
      <x:c r="A17" s="431" t="str">
        <x:v>verified vLLM SHA</x:v>
      </x:c>
      <x:c r="B17" s="432" t="str">
        <x:v>84030bbe3d74d99bad477a3d2e37a973ccd8865c</x:v>
      </x:c>
      <x:c r="C17" s="433" t="str">
        <x:v>.github/vllm-main-verified.commit</x:v>
      </x:c>
    </x:row>
    <x:row r="18" ht="46" customHeight="1">
      <x:c r="A18" s="430" t="str">
        <x:v>区间合入PR</x:v>
      </x:c>
      <x:c r="B18" s="312" t="n">
        <x:v>52</x:v>
      </x:c>
      <x:c r="C18" s="313" t="str">
        <x:v>GraphQL mergedAt左闭右开精确筛选；原始分页和52个diff已留存</x:v>
      </x:c>
    </x:row>
    <x:row r="19" ht="46" customHeight="1">
      <x:c r="A19" s="431" t="str">
        <x:v>优化分析记录</x:v>
      </x:c>
      <x:c r="B19" s="432" t="n">
        <x:v>14</x:v>
      </x:c>
      <x:c r="C19" s="433" t="str">
        <x:v>性能、功能性收益、构建效率；允许与Bugfix交叉</x:v>
      </x:c>
    </x:row>
    <x:row r="20" ht="46" customHeight="1">
      <x:c r="A20" s="434" t="str">
        <x:v>Bugfix记录</x:v>
      </x:c>
      <x:c r="B20" s="324" t="n">
        <x:v>28</x:v>
      </x:c>
      <x:c r="C20" s="325" t="str">
        <x:v>运行时、安全、模型/协议及CI/测试缺陷；无版本分支匹配和证据等级列</x:v>
      </x:c>
    </x:row>
    <x:row r="21" ht="46" customHeight="1">
      <x:c r="A21" s="179" t="str">
        <x:v>功能/接口记录</x:v>
      </x:c>
      <x:c r="B21" s="128" t="n">
        <x:v>11</x:v>
      </x:c>
      <x:c r="C21" s="128" t="str">
        <x:v>新增能力、接口或校验职责变化</x:v>
      </x:c>
    </x:row>
    <x:row r="22" ht="46" customHeight="1">
      <x:c r="A22" s="180" t="str">
        <x:v>全部PR分析</x:v>
      </x:c>
      <x:c r="B22" s="132" t="n">
        <x:v>52</x:v>
      </x:c>
      <x:c r="C22" s="132" t="str">
        <x:v>全部PR页逐条说明问题、方案、原因和是否Bugfix</x:v>
      </x:c>
    </x:row>
    <x:row r="23" ht="46" customHeight="1">
      <x:c r="A23" s="179" t="str">
        <x:v>V3结论</x:v>
      </x:c>
      <x:c r="B23" s="128" t="str">
        <x:v>P0=0；P1=0；P2=12；P3=0；skip=2</x:v>
      </x:c>
      <x:c r="C23" s="128" t="str">
        <x:v>按main-lys矩阵</x:v>
      </x:c>
    </x:row>
    <x:row r="24" ht="46" customHeight="1">
      <x:c r="A24" s="135" t="str">
        <x:v>五类最终结论</x:v>
      </x:c>
      <x:c r="B24" s="135" t="str">
        <x:v>直接继承=0；收益明确待适配=0；收益不明确待验证=5；平台差异可借鉴=7；不可用=2</x:v>
      </x:c>
      <x:c r="C24" s="135" t="str">
        <x:v>AI语义分析+main-lys路由+import/继承/override/patch/调用链复核</x:v>
      </x:c>
    </x:row>
    <x:row r="25" ht="52.5" customHeight="1">
      <x:c r="A25" s="135" t="str">
        <x:v>main2main 调用门控</x:v>
      </x:c>
      <x:c r="B25" s="135" t="str">
        <x:v>直接源码复核完成；未触发完整接口扫描</x:v>
      </x:c>
      <x:c r="C25" s="135" t="str">
        <x:v>已知接口/功能缺口已直接源码闭环，未触发完整接口分析器。NPU运行及性能收益尚待验证，不代表全仓零风险。 本窗口已闭环必改接口点5条。#56734负索引消费者、#45635输出接口和#57913单测旧方法均有确定适配点；profiler生命周期和NPU实际收益保留验证。NPU实际收益和整模组合仍需验证，静态闭环不等于零运行风险。</x:v>
      </x:c>
    </x:row>
    <x:row r="26" ht="46" customHeight="1">
      <x:c r="A26" s="135" t="str">
        <x:v>精确源码复核</x:v>
      </x:c>
      <x:c r="B26" s="135" t="str">
        <x:v>pinned old/new/Ascend：import、继承、override、patch、调用链</x:v>
      </x:c>
      <x:c r="C26" s="135" t="str">
        <x:v>52条main逐commit校验tree；#56734自有槽映射缺负索引守卫，#45635仍引用删除类型/方法，#57913单测mock旧方法；Engram已有host分片但配置解析需适配。未运行全仓接口分析器及NPU实测。</x:v>
      </x:c>
    </x:row>
    <x:row r="27" ht="46" customHeight="1">
      <x:c r="A27" s="135" t="str">
        <x:v>旧架构映射的边界</x:v>
      </x:c>
      <x:c r="B27" s="135" t="str">
        <x:v>architecture.json生成于2026-06-22</x:v>
      </x:c>
      <x:c r="C27" s="135" t="str">
        <x:v>patch_impact_map只作为候选提示；最终冲突与可达性由cutoff源码复核，不沿用旧never_affected_paths把NPU native offload判为不可达。</x:v>
      </x:c>
    </x:row>
    <x:row r="28" ht="46" customHeight="1">
      <x:c r="A28" s="135" t="str">
        <x:v>用户口径覆盖原提示词</x:v>
      </x:c>
      <x:c r="B28" s="135" t="str">
        <x:v>平台路径不自动skip；真实CI缺陷仍入Bugfix台账</x:v>
      </x:c>
      <x:c r="C28" s="135" t="str">
        <x:v>按本任务已确认的五类口径，平台实现不可直用但有具体NPU借鉴入口的记录保留idea-copy；不沿用原Prompt的纯平台/CI统一跳过规则。待POC不等于已取得收益。</x:v>
      </x:c>
    </x:row>
    <x:row r="29" ht="46" customHeight="1">
      <x:c r="A29" s="135" t="str">
        <x:v>结论差异口径</x:v>
      </x:c>
      <x:c r="B29" s="135" t="str">
        <x:v>V3路由与五类结论的一致性检查</x:v>
      </x:c>
      <x:c r="C29" s="135" t="str">
        <x:v>这两列是同一条AI分析的不同管理编码，不是两个独立模型投票。关键词原程序输出与最终语义分类单独保留。</x:v>
      </x:c>
    </x:row>
    <x:row r="30" ht="46" customHeight="1">
      <x:c r="A30" s="135" t="str">
        <x:v>初始化校验修正</x:v>
      </x:c>
      <x:c r="B30" s="135" t="str">
        <x:v>init_run_verified_anchor.py校验main锚点</x:v>
      </x:c>
      <x:c r="C30" s="135" t="str">
        <x:v>原skill helper误在Ascend对象库解析vLLM verified SHA；本次仅将本地副本的锚点验证改到vLLM对象库，未更改安装的skill；ISO时间保留毫秒及偏移。</x:v>
      </x:c>
    </x:row>
    <x:row r="31" ht="46" customHeight="1">
      <x:c r="A31" s="135" t="str">
        <x:v>版本关系解释</x:v>
      </x:c>
      <x:c r="B31" s="135" t="str">
        <x:v>cutoff主干为分析目标；verified为Ascend已验证依赖锚点</x:v>
      </x:c>
      <x:c r="C31" s="135" t="str">
        <x:v>理论继承指升到本次目标vLLM后的源码关系，不表示verified已包含所有修复，也不表示NPU收益已实测。</x:v>
      </x:c>
    </x:row>
    <x:row r="32" ht="46" customHeight="1">
      <x:c r="A32" s="135" t="str">
        <x:v>Excel格式基准</x:v>
      </x:c>
      <x:c r="B32" s="135" t="str">
        <x:v>最近成功的20260920-20260921 V3工作簿</x:v>
      </x:c>
      <x:c r="C32" s="135" t="str">
        <x:v>继承用户确认的8月V3版式，完整保留11页；template SHA256=4B707FA34C032BF5729B4F36E4507377DB99AE2DC853BE892604E05EFAB52B91；未另改已有报告。</x:v>
      </x:c>
    </x:row>
    <x:row r="33" ht="46" customHeight="1">
      <x:c r="A33"/>
      <x:c r="B33"/>
      <x:c r="C33"/>
    </x:row>
    <x:row r="34" ht="46" customHeight="1">
      <x:c r="A34"/>
      <x:c r="B34"/>
      <x:c r="C34"/>
    </x:row>
    <x:row r="35" ht="46" customHeight="1">
      <x:c r="A35"/>
      <x:c r="B35"/>
      <x:c r="C35"/>
    </x:row>
    <x:row r="36" ht="46" customHeight="1">
      <x:c r="A36"/>
      <x:c r="B36"/>
      <x:c r="C36"/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a3cb230636d0437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4" hidden="0" customWidth="1"/>
    <x:col min="4" max="4" width="45" hidden="0" customWidth="1"/>
    <x:col min="5" max="5" width="45" hidden="0" customWidth="1"/>
    <x:col min="6" max="6" width="45" hidden="0" customWidth="1"/>
  </x:cols>
  <x:sheetData>
    <x:row r="1" ht="30" customHeight="1">
      <x:c r="A1" s="4" t="str">
        <x:v>统计看板</x:v>
      </x:c>
      <x:c r="B1" s="4"/>
      <x:c r="C1" s="4"/>
      <x:c r="D1" s="4"/>
      <x:c r="E1" s="4"/>
      <x:c r="F1" s="4"/>
    </x:row>
    <x:row r="2" ht="34" customHeight="1">
      <x:c r="A2" s="8" t="str">
        <x:v>数量由“优化点总表”公式计算；快速核对14条优化、V3迁移和五类最终结论。</x:v>
      </x:c>
      <x:c r="B2" s="8"/>
      <x:c r="C2" s="8"/>
      <x:c r="D2" s="8"/>
      <x:c r="E2" s="8"/>
      <x:c r="F2" s="8"/>
    </x:row>
    <x:row r="4" ht="34" customHeight="1">
      <x:c r="A4" s="326" t="str">
        <x:v>统计项</x:v>
      </x:c>
      <x:c r="B4" s="326" t="str">
        <x:v>数量</x:v>
      </x:c>
      <x:c r="D4" s="436" t="str">
        <x:v>结论说明</x:v>
      </x:c>
      <x:c r="E4" s="436"/>
      <x:c r="F4" s="436"/>
    </x:row>
    <x:row r="5" ht="28" customHeight="1">
      <x:c r="A5" s="1920" t="str">
        <x:v>总记录</x:v>
      </x:c>
      <x:c r="B5" s="186" t="n">
        <x:f>COUNTA('优化点总表'!$B$5:$B$18)</x:f>
        <x:v>14</x:v>
      </x:c>
      <x:c r="D5" s="553" t="str">
        <x:v>五类复核：无收益明确待适配；#57460/#57868/#57885/#45635/#52362收益不明确待验证；#57603/#57643/#57277/#57526/#54535/#57869/#55001平台差异可借鉴。
重点项以行动清单和精确代码复核页为准；所有结论均按本窗口cutoff源码、PR diff与Review证据生成。</x:v>
      </x:c>
      <x:c r="E5" s="554"/>
      <x:c r="F5" s="555"/>
    </x:row>
    <x:row r="6" ht="28" customHeight="1">
      <x:c r="A6" s="1920" t="str">
        <x:v>V3 P0</x:v>
      </x:c>
      <x:c r="B6" s="186" t="n">
        <x:f>COUNTIF('优化点总表'!$A$5:$A$18,"P0")</x:f>
        <x:v>0</x:v>
      </x:c>
      <x:c r="D6" s="556"/>
      <x:c r="E6" s="557"/>
      <x:c r="F6" s="558"/>
    </x:row>
    <x:row r="7" ht="28" customHeight="1">
      <x:c r="A7" s="1920" t="str">
        <x:v>V3 P1</x:v>
      </x:c>
      <x:c r="B7" s="186" t="n">
        <x:f>COUNTIF('优化点总表'!$A$5:$A$18,"P1")</x:f>
        <x:v>0</x:v>
      </x:c>
      <x:c r="D7" s="556"/>
      <x:c r="E7" s="557"/>
      <x:c r="F7" s="558"/>
    </x:row>
    <x:row r="8" ht="28" customHeight="1">
      <x:c r="A8" s="1920" t="str">
        <x:v>V3 P2</x:v>
      </x:c>
      <x:c r="B8" s="186" t="n">
        <x:f>COUNTIF('优化点总表'!$A$5:$A$18,"P2")</x:f>
        <x:v>12</x:v>
      </x:c>
      <x:c r="D8" s="556"/>
      <x:c r="E8" s="557"/>
      <x:c r="F8" s="558"/>
    </x:row>
    <x:row r="9" ht="28" customHeight="1">
      <x:c r="A9" s="1920" t="str">
        <x:v>V3 P3</x:v>
      </x:c>
      <x:c r="B9" s="186" t="n">
        <x:f>COUNTIF('优化点总表'!$A$5:$A$18,"P3")</x:f>
        <x:v>0</x:v>
      </x:c>
      <x:c r="D9" s="556"/>
      <x:c r="E9" s="557"/>
      <x:c r="F9" s="558"/>
    </x:row>
    <x:row r="10" ht="28" customHeight="1">
      <x:c r="A10" s="1920" t="str">
        <x:v>V3 skip</x:v>
      </x:c>
      <x:c r="B10" s="186" t="n">
        <x:f>COUNTIF('优化点总表'!$A$5:$A$18,"skip")</x:f>
        <x:v>2</x:v>
      </x:c>
      <x:c r="D10" s="556"/>
      <x:c r="E10" s="557"/>
      <x:c r="F10" s="558"/>
    </x:row>
    <x:row r="11" ht="28" customHeight="1">
      <x:c r="A11" s="1920" t="str">
        <x:v>V3 patch-sync</x:v>
      </x:c>
      <x:c r="B11" s="186" t="n">
        <x:f>COUNTIF('优化点总表'!$G$5:$G$18,"patch-sync")</x:f>
        <x:v>0</x:v>
      </x:c>
      <x:c r="D11" s="556"/>
      <x:c r="E11" s="557"/>
      <x:c r="F11" s="558"/>
    </x:row>
    <x:row r="12" ht="28" customHeight="1">
      <x:c r="A12" s="1920" t="str">
        <x:v>最终：直接继承</x:v>
      </x:c>
      <x:c r="B12" s="186" t="n">
        <x:f>COUNTIF('优化点总表'!$K$5:$K$18,"直接继承")</x:f>
        <x:v>0</x:v>
      </x:c>
      <x:c r="D12" s="559"/>
      <x:c r="E12" s="560"/>
      <x:c r="F12" s="561"/>
    </x:row>
    <x:row r="13" ht="28" customHeight="1">
      <x:c r="A13" s="1920" t="str">
        <x:v>最终：收益明确待适配</x:v>
      </x:c>
      <x:c r="B13" s="186" t="n">
        <x:f>COUNTIF('优化点总表'!$K$5:$K$18,"收益明确待适配")</x:f>
        <x:v>0</x:v>
      </x:c>
      <x:c r="D13" s="557"/>
      <x:c r="E13" s="557"/>
      <x:c r="F13" s="557"/>
    </x:row>
    <x:row r="14" ht="28" customHeight="1">
      <x:c r="A14" s="1920" t="str">
        <x:v>最终：收益不明确待验证</x:v>
      </x:c>
      <x:c r="B14" s="186" t="n">
        <x:f>COUNTIF('优化点总表'!$K$5:$K$18,"收益不明确待验证")</x:f>
        <x:v>5</x:v>
      </x:c>
      <x:c r="D14" s="557"/>
      <x:c r="E14" s="557"/>
      <x:c r="F14" s="557"/>
    </x:row>
    <x:row r="15" ht="28" customHeight="1">
      <x:c r="A15" s="1920" t="str">
        <x:v>最终：平台差异可借鉴</x:v>
      </x:c>
      <x:c r="B15" s="186" t="n">
        <x:f>COUNTIF('优化点总表'!$K$5:$K$18,"平台差异可借鉴")</x:f>
        <x:v>7</x:v>
      </x:c>
    </x:row>
    <x:row r="16" ht="28" customHeight="1">
      <x:c r="A16" s="1921" t="str">
        <x:v>最终：不可用</x:v>
      </x:c>
      <x:c r="B16" s="188" t="n">
        <x:f>COUNTIF('优化点总表'!$K$5:$K$18,"不可用")</x:f>
        <x:v>2</x:v>
      </x:c>
    </x:row>
    <x:row r="17" ht="28" customHeight="1">
      <x:c r="A17" s="1922" t="str">
        <x:v>结论有差异</x:v>
      </x:c>
      <x:c r="B17" s="442" t="n">
        <x:f>COUNTIF('优化点总表'!$L$5:$L$18,"有差异")</x:f>
        <x:v>0</x:v>
      </x:c>
      <x:c r="C17" s="119"/>
      <x:c r="D17" s="119"/>
      <x:c r="E17" s="119"/>
      <x:c r="F17" s="119"/>
    </x:row>
    <x:row r="18" ht="28" customHeight="1">
      <x:c r="A18" s="1923" t="str">
        <x:v>结论无差异</x:v>
      </x:c>
      <x:c r="B18" s="552" t="n">
        <x:f>COUNTIF('优化点总表'!$L$5:$L$18,"无差异")</x:f>
        <x:v>14</x:v>
      </x:c>
      <x:c r="C18" s="467"/>
      <x:c r="D18" s="467"/>
      <x:c r="E18" s="467"/>
      <x:c r="F18" s="467"/>
    </x:row>
    <x:row r="19" ht="36" customHeight="1">
      <x:c r="A19" s="123" t="str">
        <x:f>"QC：总记录="&amp;B5&amp;"；V3 P0+P1+P2+P3+skip="&amp;(B6+B7+B8+B9+B10)&amp;"；五类结论合计="&amp;(B12+B13+B14+B15+B16)&amp;"；结论差异+无差异="&amp;(B17+B18)&amp;"。"</x:f>
        <x:v>QC：总记录=14；V3 P0+P1+P2+P3+skip=14；五类结论合计=14；结论差异+无差异=14。</x:v>
      </x:c>
      <x:c r="B19" s="123"/>
      <x:c r="C19" s="123"/>
      <x:c r="D19" s="123"/>
      <x:c r="E19" s="123"/>
      <x:c r="F19" s="123"/>
    </x:row>
  </x:sheetData>
  <x:mergeCells>
    <x:mergeCell ref="A1:F1"/>
    <x:mergeCell ref="A2:F2"/>
    <x:mergeCell ref="D4:F4"/>
    <x:mergeCell ref="D5:F12"/>
    <x:mergeCell ref="A19:F1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34" hidden="0" customWidth="1"/>
    <x:col min="4" max="4" width="19" hidden="0" customWidth="1"/>
    <x:col min="5" max="5" width="18" hidden="0" customWidth="1"/>
    <x:col min="6" max="6" width="30" hidden="0" customWidth="1"/>
    <x:col min="7" max="7" width="18" hidden="0" customWidth="1"/>
    <x:col min="8" max="8" width="38" hidden="0" customWidth="1"/>
    <x:col min="9" max="9" width="26" hidden="0" customWidth="1"/>
    <x:col min="10" max="10" width="38" hidden="0" customWidth="1"/>
    <x:col min="11" max="11" width="15" hidden="0" customWidth="1"/>
    <x:col min="12" max="12" width="15" hidden="0" customWidth="1"/>
    <x:col min="13" max="13" width="15" hidden="0" customWidth="1"/>
    <x:col min="14" max="14" width="16" hidden="0" customWidth="1"/>
    <x:col min="15" max="15" width="40" hidden="0" customWidth="1"/>
    <x:col min="16" max="16" width="12" hidden="0" customWidth="1"/>
    <x:col min="17" max="17" width="10" hidden="0" customWidth="1"/>
    <x:col min="18" max="18" width="38" hidden="0" customWidth="1"/>
    <x:col min="19" max="19" width="15" hidden="0" customWidth="1"/>
    <x:col min="20" max="20" width="12" hidden="0" customWidth="1"/>
    <x:col min="21" max="21" width="25" hidden="0" customWidth="1"/>
  </x:cols>
  <x:sheetData>
    <x:row r="1" ht="34" customHeight="1">
      <x:c r="A1" s="1879" t="str">
        <x:v>vLLM 上游 Bugfix 管理表</x:v>
      </x:c>
      <x:c r="B1" s="1879"/>
      <x:c r="C1" s="1879"/>
      <x:c r="D1" s="1879"/>
      <x:c r="E1" s="1879"/>
      <x:c r="F1" s="1879"/>
      <x:c r="G1" s="1879"/>
      <x:c r="H1" s="1879"/>
      <x:c r="I1" s="1879"/>
      <x:c r="J1" s="1879"/>
      <x:c r="K1" s="1879"/>
      <x:c r="L1" s="1879"/>
      <x:c r="M1" s="1879"/>
      <x:c r="N1" s="1879"/>
      <x:c r="O1" s="1879"/>
      <x:c r="P1" s="1879"/>
      <x:c r="Q1" s="1879"/>
      <x:c r="R1" s="1879"/>
      <x:c r="S1" s="1879"/>
      <x:c r="T1" s="1879"/>
      <x:c r="U1" s="1879"/>
    </x:row>
    <x:row r="2" ht="50" customHeight="1">
      <x:c r="A2" s="1880" t="str">
        <x:v>统计周期起</x:v>
      </x:c>
      <x:c r="B2" s="1881" t="str">
        <x:v>2026-09-21 01:02:04.840</x:v>
      </x:c>
      <x:c r="C2" s="1880" t="str">
        <x:v>统计周期止（不含）</x:v>
      </x:c>
      <x:c r="D2" s="1881" t="str">
        <x:v>2026-09-22 01:00:58.960</x:v>
      </x:c>
      <x:c r="E2" s="1880" t="str">
        <x:v>时区</x:v>
      </x:c>
      <x:c r="F2" s="1882" t="str">
        <x:v>Asia/Hong_Kong</x:v>
      </x:c>
      <x:c r="G2" s="1880" t="str">
        <x:v>vLLM old SHA</x:v>
      </x:c>
      <x:c r="H2" s="1882" t="str">
        <x:v>49ee12d742b4a5524d2a3a3ee6c3fb77e4913073</x:v>
      </x:c>
      <x:c r="I2" s="1880" t="str">
        <x:v>vLLM new SHA</x:v>
      </x:c>
      <x:c r="J2" s="1882" t="str">
        <x:v>986e217158a9ed54eca8307c6bb9abac7c5b2278</x:v>
      </x:c>
      <x:c r="K2" s="1880" t="str">
        <x:v>Ascend基线</x:v>
      </x:c>
      <x:c r="L2" s="1882" t="str">
        <x:v>baa023ada41a5b889cac6249845a688aab130892</x:v>
      </x:c>
      <x:c r="M2" s="1880" t="str">
        <x:v>版本lane</x:v>
      </x:c>
      <x:c r="N2" s="1882" t="str">
        <x:v>main；anchor 84030bbe3d74d99bad477a3d2e37a973ccd8865c</x:v>
      </x:c>
      <x:c r="O2" s="1882"/>
      <x:c r="P2" s="1882"/>
      <x:c r="Q2" s="1882"/>
      <x:c r="R2" s="1882"/>
      <x:c r="S2" s="1882"/>
      <x:c r="T2" s="1882"/>
      <x:c r="U2" s="1882"/>
    </x:row>
    <x:row r="3" ht="42" customHeight="1">
      <x:c r="A3" s="1883" t="str">
        <x:v>统计口径：52个合入PR；本表纳入28条正确性、安全、兼容性及实际CI/测试缺陷。结论按来源可达、修复覆盖、Ascend等价处理矩阵生成。</x:v>
      </x:c>
      <x:c r="B3" s="1883"/>
      <x:c r="C3" s="1883"/>
      <x:c r="D3" s="1883"/>
      <x:c r="E3" s="1883"/>
      <x:c r="F3" s="1883"/>
      <x:c r="G3" s="1883"/>
      <x:c r="H3" s="1883"/>
      <x:c r="I3" s="1883"/>
      <x:c r="J3" s="1883"/>
      <x:c r="K3" s="1883"/>
      <x:c r="L3" s="1883"/>
      <x:c r="M3" s="1883"/>
      <x:c r="N3" s="1883"/>
      <x:c r="O3" s="1883"/>
      <x:c r="P3" s="1883"/>
      <x:c r="Q3" s="1883"/>
      <x:c r="R3" s="1883"/>
      <x:c r="S3" s="1883"/>
      <x:c r="T3" s="1883"/>
      <x:c r="U3" s="1883"/>
    </x:row>
    <x:row r="4">
      <x:c r="A4" s="189"/>
      <x:c r="B4" s="189"/>
      <x:c r="C4" s="189"/>
      <x:c r="D4" s="189"/>
      <x:c r="E4" s="189"/>
      <x:c r="F4" s="189"/>
      <x:c r="G4" s="189"/>
      <x:c r="H4" s="189"/>
      <x:c r="I4" s="189"/>
      <x:c r="J4" s="189"/>
      <x:c r="K4" s="189"/>
      <x:c r="L4" s="189"/>
      <x:c r="M4" s="189"/>
      <x:c r="N4" s="189"/>
      <x:c r="O4" s="189"/>
      <x:c r="P4" s="189"/>
      <x:c r="Q4" s="189"/>
      <x:c r="R4" s="189"/>
      <x:c r="S4" s="189"/>
      <x:c r="T4" s="189"/>
      <x:c r="U4" s="189"/>
    </x:row>
    <x:row r="5" ht="30" customHeight="1">
      <x:c r="A5" s="1884" t="str">
        <x:v>记录总数</x:v>
      </x:c>
      <x:c r="B5" s="1885" t="n">
        <x:f>COUNTA(A9:A36)</x:f>
        <x:v>28</x:v>
      </x:c>
      <x:c r="C5" s="1884" t="str">
        <x:v>需要适配</x:v>
      </x:c>
      <x:c r="D5" s="1885" t="n">
        <x:f>COUNTIF(N9:N36,"需要适配")</x:f>
        <x:v>1</x:v>
      </x:c>
      <x:c r="E5" s="1884" t="str">
        <x:v>待确认</x:v>
      </x:c>
      <x:c r="F5" s="1885" t="n">
        <x:f>COUNTIF(N9:N36,"待确认")</x:f>
        <x:v>5</x:v>
      </x:c>
      <x:c r="G5" s="1884" t="str">
        <x:v>直接继承修复</x:v>
      </x:c>
      <x:c r="H5" s="1885" t="n">
        <x:f>COUNTIF(N9:N36,"直接继承修复")</x:f>
        <x:v>7</x:v>
      </x:c>
      <x:c r="I5" s="1884" t="str">
        <x:v>不受影响</x:v>
      </x:c>
      <x:c r="J5" s="1885" t="n">
        <x:f>COUNTIF(N9:N36,"不受影响")</x:f>
        <x:v>15</x:v>
      </x:c>
      <x:c r="K5" s="1884" t="str">
        <x:v>判定闭环率</x:v>
      </x:c>
      <x:c r="L5" s="1886" t="n">
        <x:f>IF(B5=0,1,1-F5/B5)</x:f>
        <x:v>0.8214285714285714</x:v>
      </x:c>
      <x:c r="M5" s="189"/>
      <x:c r="N5" s="189"/>
      <x:c r="O5" s="189"/>
      <x:c r="P5" s="189"/>
      <x:c r="Q5" s="189"/>
      <x:c r="R5" s="189"/>
      <x:c r="S5" s="189"/>
      <x:c r="T5" s="189"/>
      <x:c r="U5" s="189"/>
    </x:row>
    <x:row r="6">
      <x:c r="A6" s="189"/>
      <x:c r="B6" s="189"/>
      <x:c r="C6" s="189"/>
      <x:c r="D6" s="189"/>
      <x:c r="E6" s="189"/>
      <x:c r="F6" s="189"/>
      <x:c r="G6" s="189"/>
      <x:c r="H6" s="189"/>
      <x:c r="I6" s="189"/>
      <x:c r="J6" s="189"/>
      <x:c r="K6" s="189"/>
      <x:c r="L6" s="189"/>
      <x:c r="M6" s="189"/>
      <x:c r="N6" s="189"/>
      <x:c r="O6" s="189"/>
      <x:c r="P6" s="189"/>
      <x:c r="Q6" s="189"/>
      <x:c r="R6" s="189"/>
      <x:c r="S6" s="189"/>
      <x:c r="T6" s="189"/>
      <x:c r="U6" s="189"/>
    </x:row>
    <x:row r="7" ht="48" customHeight="1">
      <x:c r="A7" s="1887" t="str">
        <x:v>判定矩阵：来源不可达或已有等价处理→不受影响；来源可达且共享修复进入→直接继承修复；来源可达、修复未进入且无等价处理→需要适配；任一关键项未知→待确认。继承指目标vLLM版本，不等于当前verified已升级。</x:v>
      </x:c>
      <x:c r="B7" s="1887"/>
      <x:c r="C7" s="1887"/>
      <x:c r="D7" s="1887"/>
      <x:c r="E7" s="1887"/>
      <x:c r="F7" s="1887"/>
      <x:c r="G7" s="1887"/>
      <x:c r="H7" s="1887"/>
      <x:c r="I7" s="1887"/>
      <x:c r="J7" s="1887"/>
      <x:c r="K7" s="1887"/>
      <x:c r="L7" s="1887"/>
      <x:c r="M7" s="1887"/>
      <x:c r="N7" s="1887"/>
      <x:c r="O7" s="1887"/>
      <x:c r="P7" s="1887"/>
      <x:c r="Q7" s="1887"/>
      <x:c r="R7" s="1887"/>
      <x:c r="S7" s="1887"/>
      <x:c r="T7" s="1887"/>
      <x:c r="U7" s="1887"/>
    </x:row>
    <x:row r="8" ht="50" customHeight="1">
      <x:c r="A8" s="1888" t="str">
        <x:v>记录ID</x:v>
      </x:c>
      <x:c r="B8" s="1888" t="str">
        <x:v>上游PR链接</x:v>
      </x:c>
      <x:c r="C8" s="1888" t="str">
        <x:v>PR标题</x:v>
      </x:c>
      <x:c r="D8" s="1888" t="str">
        <x:v>合入时间</x:v>
      </x:c>
      <x:c r="E8" s="1888" t="str">
        <x:v>Merge SHA</x:v>
      </x:c>
      <x:c r="F8" s="1888" t="str">
        <x:v>Bugfix简介</x:v>
      </x:c>
      <x:c r="G8" s="1888" t="str">
        <x:v>Bug分类</x:v>
      </x:c>
      <x:c r="H8" s="1888" t="str">
        <x:v>上游修复点（文件/问题/修复语义）</x:v>
      </x:c>
      <x:c r="I8" s="1888" t="str">
        <x:v>影响场景</x:v>
      </x:c>
      <x:c r="J8" s="1888" t="str">
        <x:v>Ascend有效实现/关系</x:v>
      </x:c>
      <x:c r="K8" s="1888" t="str">
        <x:v>Bug来源在Ascend可达</x:v>
      </x:c>
      <x:c r="L8" s="1888" t="str">
        <x:v>上游修复进入Ascend</x:v>
      </x:c>
      <x:c r="M8" s="1888" t="str">
        <x:v>Ascend等价处理</x:v>
      </x:c>
      <x:c r="N8" s="1888" t="str">
        <x:v>Ascend结论</x:v>
      </x:c>
      <x:c r="O8" s="1888" t="str">
        <x:v>因果判断依据</x:v>
      </x:c>
      <x:c r="P8" s="1888" t="str">
        <x:v>建议动作</x:v>
      </x:c>
      <x:c r="Q8" s="1888" t="str">
        <x:v>优先级</x:v>
      </x:c>
      <x:c r="R8" s="1888" t="str">
        <x:v>验证建议</x:v>
      </x:c>
      <x:c r="S8" s="1888" t="str">
        <x:v>状态</x:v>
      </x:c>
      <x:c r="T8" s="1888" t="str">
        <x:v>第一责任人</x:v>
      </x:c>
      <x:c r="U8" s="1888" t="str">
        <x:v>备注</x:v>
      </x:c>
    </x:row>
    <x:row r="9" ht="120" customHeight="1">
      <x:c r="A9" s="1889" t="str">
        <x:v>BUG-56734</x:v>
      </x:c>
      <x:c r="B9" s="1889" t="str">
        <x:v>https://github.com/vllm-project/vllm/pull/56734</x:v>
      </x:c>
      <x:c r="C9" s="1889" t="str">
        <x:v>[Bugfix][Spec Decode] Stop dummy draft decode steps from writing KV through stale block-table rows</x:v>
      </x:c>
      <x:c r="D9" s="1890" t="n">
        <x:v>46286.37945601852</x:v>
      </x:c>
      <x:c r="E9" s="1889" t="str">
        <x:v>d2983f2f163249acbe3053c073cb9830290984a0</x:v>
      </x:c>
      <x:c r="F9" s="1889" t="str">
        <x:v>MRV2投机dummy批读持久块表旧行，写坏草稿KV及prefix缓存。</x:v>
      </x:c>
      <x:c r="G9" s="1889" t="str">
        <x:v>MRV2 dummy KV写入</x:v>
      </x:c>
      <x:c r="H9" s="1889" t="str">
        <x:v>修改 vllm/v1/worker/gpu/block_table.py; vllm/v1/worker/gpu/spec_decode/autoregressive/speculator.py; vllm/v1/worker/gpu/spec_decode/multi_module_mtp/speculator.py; vllm/v1/worker/gpu/spec_decode/speculator.py; tests/v1/worker/test_gpu_block_table.py；dummy请求idx_mapping置-1；slot内核对负行禁止读块表并输出PAD。</x:v>
      </x:c>
      <x:c r="I9" s="1889" t="str">
        <x:v>MRV2 dummy KV写入对应的实际功能配置。</x:v>
      </x:c>
      <x:c r="J9" s="1889" t="str">
        <x:v>AscendAutoRegressiveSpeculator.propose调用super，继承dummy idx_mapping=-1；NPU BlockTables却调用自有_compute_slot_mappings_kernel，未对req_state_idx&lt;0屏蔽块表读及输出。生产者修改进入、关键消费者修复未进入，可能负索引读及污染KV。</x:v>
      </x:c>
      <x:c r="K9" s="1891" t="str">
        <x:v>是</x:v>
      </x:c>
      <x:c r="L9" s="1891" t="str">
        <x:v>否</x:v>
      </x:c>
      <x:c r="M9" s="1891" t="str">
        <x:v>否</x:v>
      </x:c>
      <x:c r="N9" s="1891" t="str">
        <x:v>需要适配</x:v>
      </x:c>
      <x:c r="O9" s="1889" t="str">
        <x:v>AscendAutoRegressiveSpeculator.propose调用super，继承dummy idx_mapping=-1；NPU BlockTables却调用自有_compute_slot_mappings_kernel，未对req_state_idx&lt;0屏蔽块表读及输出。生产者修改进入、关键消费者修复未进入，可能负索引读及污染KV。</x:v>
      </x:c>
      <x:c r="P9" s="1891" t="str">
        <x:v>modify</x:v>
      </x:c>
      <x:c r="Q9" s="1891" t="str">
        <x:v>P1</x:v>
      </x:c>
      <x:c r="R9" s="1889" t="str">
        <x:v>在NPU槽映射内核增加负请求行的安全读mask/PAD输出，不能仅在输出端mask；覆盖dummy多token、真实批、prefix复用、DP补齐和ACLgraph，检查KV哨兵不变。</x:v>
      </x:c>
      <x:c r="S9" s="1891" t="str">
        <x:v>待适配</x:v>
      </x:c>
      <x:c r="T9" s="1891" t="str">
        <x:v>李泽桐</x:v>
      </x:c>
      <x:c r="U9" s="1889" t="str">
        <x:v>分支=main；GraphQL mergedAt=2026-09-21T01:06:25Z；head=450a8a703c18f19164dfdf922725e05904a54106；files=5</x:v>
      </x:c>
    </x:row>
    <x:row r="10" ht="70" customHeight="1">
      <x:c r="A10" s="1892" t="str">
        <x:v>BUG-54581</x:v>
      </x:c>
      <x:c r="B10" s="1892" t="str">
        <x:v>https://github.com/vllm-project/vllm/pull/54581</x:v>
      </x:c>
      <x:c r="C10" s="1892" t="str">
        <x:v>[Bugfix][KV Connector] Propagate cache reset failure during sleep</x:v>
      </x:c>
      <x:c r="D10" s="1893" t="n">
        <x:v>46286.392384259256</x:v>
      </x:c>
      <x:c r="E10" s="1892" t="str">
        <x:v>11852548518b13c9a00a4e73dadd19d44e221e2b</x:v>
      </x:c>
      <x:c r="F10" s="1892" t="str">
        <x:v>sleep/pause忽略KV连接器缓存重置失败，延迟Future也无法正确传递异常。</x:v>
      </x:c>
      <x:c r="G10" s="1892" t="str">
        <x:v>pause/sleep缓存清理</x:v>
      </x:c>
      <x:c r="H10" s="1892" t="str">
        <x:v>修改 vllm/v1/engine/core.py；检查reset返回值，在清MM/encoder和sleep之前失败；回调通过set_exception传异常。</x:v>
      </x:c>
      <x:c r="I10" s="1892" t="str">
        <x:v>pause/sleep缓存清理对应的实际功能配置。</x:v>
      </x:c>
      <x:c r="J10" s="1892" t="str">
        <x:v>Ascend沿用EngineCore._finish_pause共享路径；自有EngineCore包装未重写此方法，reset失败前置和Future.set_exception进入。</x:v>
      </x:c>
      <x:c r="K10" s="1894" t="str">
        <x:v>是</x:v>
      </x:c>
      <x:c r="L10" s="1894" t="str">
        <x:v>是</x:v>
      </x:c>
      <x:c r="M10" s="1894" t="str">
        <x:v>不适用</x:v>
      </x:c>
      <x:c r="N10" s="1894" t="str">
        <x:v>直接继承修复</x:v>
      </x:c>
      <x:c r="O10" s="1892" t="str">
        <x:v>Ascend沿用EngineCore._finish_pause共享路径；自有EngineCore包装未重写此方法，reset失败前置和Future.set_exception进入。</x:v>
      </x:c>
      <x:c r="P10" s="1894" t="str">
        <x:v>review</x:v>
      </x:c>
      <x:c r="Q10" s="1894" t="str">
        <x:v>P2</x:v>
      </x:c>
      <x:c r="R10" s="1892" t="str">
        <x:v>模拟KV connector reset返回False及抛异常，验证不清MM/encoder、不sleep；立即/延迟pause与Future等待均返回错误而非挂起。</x:v>
      </x:c>
      <x:c r="S10" s="1894" t="str">
        <x:v>待最小回归</x:v>
      </x:c>
      <x:c r="T10" s="1894" t="str">
        <x:v>刘荣</x:v>
      </x:c>
      <x:c r="U10" s="1892" t="str">
        <x:v>分支=main；GraphQL mergedAt=2026-09-21T01:25:02Z；head=5492559dc8d649f1b7ed97fefb84c0425eed1957；files=1</x:v>
      </x:c>
    </x:row>
    <x:row r="11" ht="70" customHeight="1">
      <x:c r="A11" s="1889" t="str">
        <x:v>BUG-53758</x:v>
      </x:c>
      <x:c r="B11" s="1889" t="str">
        <x:v>https://github.com/vllm-project/vllm/pull/53758</x:v>
      </x:c>
      <x:c r="C11" s="1889" t="str">
        <x:v>[Bugfix][Model] Mistral3: align placeholder grid with public processor</x:v>
      </x:c>
      <x:c r="D11" s="1890" t="n">
        <x:v>46286.60902777778</x:v>
      </x:c>
      <x:c r="E11" s="1889" t="str">
        <x:v>9598487bc1829504c8af81d6007ab6b9deeaa15a</x:v>
      </x:c>
      <x:c r="F11" s="1889" t="str">
        <x:v>Mistral3占位token按14像素patch计算，未匹配公共processor的合并28像素步长。</x:v>
      </x:c>
      <x:c r="G11" s="1889" t="str">
        <x:v>Mistral3图像占位计数</x:v>
      </x:c>
      <x:c r="H11" s="1889" t="str">
        <x:v>修改 vllm/model_executor/models/mistral3.py; tests/models/multimodal/processing/test_mistral3.py；用patch_size×spatial_merge_size向上取整计算网格。</x:v>
      </x:c>
      <x:c r="I11" s="1889" t="str">
        <x:v>Mistral3图像占位计数对应的实际功能配置。</x:v>
      </x:c>
      <x:c r="J11" s="1889" t="str">
        <x:v>Ascend支持矩阵列Mistral3，未替换其共享processor占位计数；patch_size×spatial_merge_size向上取整进入NPU前端。</x:v>
      </x:c>
      <x:c r="K11" s="1891" t="str">
        <x:v>是</x:v>
      </x:c>
      <x:c r="L11" s="1891" t="str">
        <x:v>是</x:v>
      </x:c>
      <x:c r="M11" s="1891" t="str">
        <x:v>不适用</x:v>
      </x:c>
      <x:c r="N11" s="1891" t="str">
        <x:v>直接继承修复</x:v>
      </x:c>
      <x:c r="O11" s="1889" t="str">
        <x:v>Ascend支持矩阵列Mistral3，未替换其共享processor占位计数；patch_size×spatial_merge_size向上取整进入NPU前端。</x:v>
      </x:c>
      <x:c r="P11" s="1891" t="str">
        <x:v>review</x:v>
      </x:c>
      <x:c r="Q11" s="1891" t="str">
        <x:v>P2</x:v>
      </x:c>
      <x:c r="R11" s="1889" t="str">
        <x:v>使用公共AutoProcessor，对非28像素对齐图像检查token占位数；单图、多图及图像缩放保持一致。</x:v>
      </x:c>
      <x:c r="S11" s="1891" t="str">
        <x:v>待最小回归</x:v>
      </x:c>
      <x:c r="T11" s="1891" t="str">
        <x:v>龙钢</x:v>
      </x:c>
      <x:c r="U11" s="1889" t="str">
        <x:v>分支=main；GraphQL mergedAt=2026-09-21T06:37:00Z；head=ccbb2e81b4c529fc869c1271f9061f89f1be3150；files=2</x:v>
      </x:c>
    </x:row>
    <x:row r="12" ht="79.5" customHeight="1">
      <x:c r="A12" s="1892" t="str">
        <x:v>BUG-48416</x:v>
      </x:c>
      <x:c r="B12" s="1892" t="str">
        <x:v>https://github.com/vllm-project/vllm/pull/48416</x:v>
      </x:c>
      <x:c r="C12" s="1892" t="str">
        <x:v>[Bugfix] Fix xgrammar feature gate bypass when JSON Schema type is a list</x:v>
      </x:c>
      <x:c r="D12" s="1893" t="n">
        <x:v>46286.62453703704</x:v>
      </x:c>
      <x:c r="E12" s="1892" t="str">
        <x:v>3c84ad13ed3f9fcd816bf1d15acb83c28cfa02f9</x:v>
      </x:c>
      <x:c r="F12" s="1892" t="str">
        <x:v>JSON Schema的type为列表时绕过xgrammar不支持特性检查。</x:v>
      </x:c>
      <x:c r="G12" s="1892" t="str">
        <x:v>Structured output约束校验</x:v>
      </x:c>
      <x:c r="H12" s="1892" t="str">
        <x:v>修改 vllm/v1/structured_output/backend_xgrammar.py; tests/v1/structured_output/test_utils.py; tests/v1/structured_output/test_validation.py；统一标量/list为类型集合，再执行数字、字符串、数组、对象规则。</x:v>
      </x:c>
      <x:c r="I12" s="1892" t="str">
        <x:v>Structured output约束校验对应的实际功能配置。</x:v>
      </x:c>
      <x:c r="J12" s="1892" t="str">
        <x:v>NPU结构化输出patch未覆盖共享xgrammar特性判定；标量/list统一后auto回退与显式拒绝进入。</x:v>
      </x:c>
      <x:c r="K12" s="1894" t="str">
        <x:v>是</x:v>
      </x:c>
      <x:c r="L12" s="1894" t="str">
        <x:v>是</x:v>
      </x:c>
      <x:c r="M12" s="1894" t="str">
        <x:v>不适用</x:v>
      </x:c>
      <x:c r="N12" s="1894" t="str">
        <x:v>直接继承修复</x:v>
      </x:c>
      <x:c r="O12" s="1892" t="str">
        <x:v>NPU结构化输出patch未覆盖共享xgrammar特性判定；标量/list统一后auto回退与显式拒绝进入。</x:v>
      </x:c>
      <x:c r="P12" s="1894" t="str">
        <x:v>review</x:v>
      </x:c>
      <x:c r="Q12" s="1894" t="str">
        <x:v>P2</x:v>
      </x:c>
      <x:c r="R12" s="1892" t="str">
        <x:v>type为列表时分别覆盖number/string/array/object约束，验证auto回退；缺省type递归及integer multipleOf另按依赖版本跟踪。</x:v>
      </x:c>
      <x:c r="S12" s="1894" t="str">
        <x:v>待最小回归</x:v>
      </x:c>
      <x:c r="T12" s="1894" t="str">
        <x:v>温劲</x:v>
      </x:c>
      <x:c r="U12" s="1892" t="str">
        <x:v>分支=main；GraphQL mergedAt=2026-09-21T06:59:20Z；head=01dc8d85ed8a0dd6eb2808f8292610d68b3f9cb2；files=3</x:v>
      </x:c>
    </x:row>
    <x:row r="13" ht="70" customHeight="1">
      <x:c r="A13" s="1889" t="str">
        <x:v>BUG-57833</x:v>
      </x:c>
      <x:c r="B13" s="1889" t="str">
        <x:v>https://github.com/vllm-project/vllm/pull/57833</x:v>
      </x:c>
      <x:c r="C13" s="1889" t="str">
        <x:v>[Security] Prefer fresh multimodal payloads over a stale receiver cache</x:v>
      </x:c>
      <x:c r="D13" s="1890" t="n">
        <x:v>46286.868622685186</x:v>
      </x:c>
      <x:c r="E13" s="1889" t="str">
        <x:v>7268f6e38ebbb3d61700f16c638c6eba0c88bb0c</x:v>
      </x:c>
      <x:c r="F13" s="1889" t="str">
        <x:v>接收端缓存命中覆盖前端重发的新tensor，布局和数据不一致可导致engine崩溃。</x:v>
      </x:c>
      <x:c r="G13" s="1889" t="str">
        <x:v>多模态receiver缓存更新</x:v>
      </x:c>
      <x:c r="H13" s="1889" t="str">
        <x:v>修改 vllm/multimodal/cache.py; tests/multimodal/test_cache.py；有新payload时先移除旧缓存并存新值；仅无payload时读缓存。</x:v>
      </x:c>
      <x:c r="I13" s="1889" t="str">
        <x:v>多模态receiver缓存更新对应的实际功能配置。</x:v>
      </x:c>
      <x:c r="J13" s="1889" t="str">
        <x:v>Ascend沿用共享多模态接收缓存，没有同名get_and_update覆盖；#57913同窗拆包后修复保留在cache/lru.py。新payload覆盖旧值进入目标版本。</x:v>
      </x:c>
      <x:c r="K13" s="1891" t="str">
        <x:v>是</x:v>
      </x:c>
      <x:c r="L13" s="1891" t="str">
        <x:v>是</x:v>
      </x:c>
      <x:c r="M13" s="1891" t="str">
        <x:v>不适用</x:v>
      </x:c>
      <x:c r="N13" s="1891" t="str">
        <x:v>直接继承修复</x:v>
      </x:c>
      <x:c r="O13" s="1889" t="str">
        <x:v>Ascend沿用共享多模态接收缓存，没有同名get_and_update覆盖；#57913同窗拆包后修复保留在cache/lru.py。新payload覆盖旧值进入目标版本。</x:v>
      </x:c>
      <x:c r="P13" s="1891" t="str">
        <x:v>review</x:v>
      </x:c>
      <x:c r="Q13" s="1891" t="str">
        <x:v>P2</x:v>
      </x:c>
      <x:c r="R13" s="1889" t="str">
        <x:v>前后端LRU独立淘汰后重发相同hash新tensor，覆盖layout和embedding数改变；额外检验encoder cache一致性，本PR不保证全部跨缓存风险消失。</x:v>
      </x:c>
      <x:c r="S13" s="1891" t="str">
        <x:v>待最小回归</x:v>
      </x:c>
      <x:c r="T13" s="1891" t="str">
        <x:v>龙钢</x:v>
      </x:c>
      <x:c r="U13" s="1889" t="str">
        <x:v>分支=main；GraphQL mergedAt=2026-09-21T12:50:49Z；head=9edb2aff27bbc4df3616976356a5c8841c6104c6；files=2</x:v>
      </x:c>
    </x:row>
    <x:row r="14" ht="70" customHeight="1">
      <x:c r="A14" s="1892" t="str">
        <x:v>BUG-57498</x:v>
      </x:c>
      <x:c r="B14" s="1892" t="str">
        <x:v>https://github.com/vllm-project/vllm/pull/57498</x:v>
      </x:c>
      <x:c r="C14" s="1892" t="str">
        <x:v>[Pooling] Fix normalization of chunked long-text embeddings</x:v>
      </x:c>
      <x:c r="D14" s="1893" t="n">
        <x:v>46286.9490625</x:v>
      </x:c>
      <x:c r="E14" s="1892" t="str">
        <x:v>887cf91e30545373f90eb967c981b456c9cbbf8d</x:v>
      </x:c>
      <x:c r="F14" s="1892" t="str">
        <x:v>已归一化分块向量的加权平均不再单位范数，长文embedding内积检索变化。</x:v>
      </x:c>
      <x:c r="G14" s="1892" t="str">
        <x:v>分块embedding归一化</x:v>
      </x:c>
      <x:c r="H14" s="1892" t="str">
        <x:v>修改 vllm/entrypoints/pooling/embed/io_processor.py；记录实际chunk范数，仅多块且均L2归一化并启用activation时重归一化。</x:v>
      </x:c>
      <x:c r="I14" s="1892" t="str">
        <x:v>分块embedding归一化对应的实际功能配置。</x:v>
      </x:c>
      <x:c r="J14" s="1892" t="str">
        <x:v>Ascend embedding前端沿用共享EmbedIOProcessor，未重写长文chunk聚合；按实际范数判定再归一化进入。</x:v>
      </x:c>
      <x:c r="K14" s="1894" t="str">
        <x:v>是</x:v>
      </x:c>
      <x:c r="L14" s="1894" t="str">
        <x:v>是</x:v>
      </x:c>
      <x:c r="M14" s="1894" t="str">
        <x:v>不适用</x:v>
      </x:c>
      <x:c r="N14" s="1894" t="str">
        <x:v>直接继承修复</x:v>
      </x:c>
      <x:c r="O14" s="1892" t="str">
        <x:v>Ascend embedding前端沿用共享EmbedIOProcessor，未重写长文chunk聚合；按实际范数判定再归一化进入。</x:v>
      </x:c>
      <x:c r="P14" s="1894" t="str">
        <x:v>review</x:v>
      </x:c>
      <x:c r="Q14" s="1894" t="str">
        <x:v>P2</x:v>
      </x:c>
      <x:c r="R14" s="1892" t="str">
        <x:v>单块、多块、L2/非L2输出及use_activation开关；对长文内积索引升级前后比对并重建受影响索引，不强制所有向量归一化。</x:v>
      </x:c>
      <x:c r="S14" s="1894" t="str">
        <x:v>待最小回归</x:v>
      </x:c>
      <x:c r="T14" s="1894" t="str">
        <x:v>郭小辉</x:v>
      </x:c>
      <x:c r="U14" s="1892" t="str">
        <x:v>分支=main；GraphQL mergedAt=2026-09-21T14:46:39Z；head=a9a6b57583309d75d0dd66f189563ae96b6bbb04；files=1</x:v>
      </x:c>
    </x:row>
    <x:row r="15" ht="70" customHeight="1">
      <x:c r="A15" s="1889" t="str">
        <x:v>BUG-57948</x:v>
      </x:c>
      <x:c r="B15" s="1889" t="str">
        <x:v>https://github.com/vllm-project/vllm/pull/57948</x:v>
      </x:c>
      <x:c r="C15" s="1889" t="str">
        <x:v>[Bugfix][Frontend] Accept diarized transcription responses in run-batch</x:v>
      </x:c>
      <x:c r="D15" s="1890" t="n">
        <x:v>46286.955300925925</x:v>
      </x:c>
      <x:c r="E15" s="1889" t="str">
        <x:v>21aa17c1289f9c376c941b5a5e3d140590d4cae1</x:v>
      </x:c>
      <x:c r="F15" s="1889" t="str">
        <x:v>run-batch遗漏diarized响应类型，将正常非流式转写误判为stream而返回400。</x:v>
      </x:c>
      <x:c r="G15" s="1889" t="str">
        <x:v>batch diarized响应类型</x:v>
      </x:c>
      <x:c r="H15" s="1889" t="str">
        <x:v>修改 vllm/entrypoints/launchers/run_batch.py；响应union和wrapper统一引用TranscriptionResponseVariant。</x:v>
      </x:c>
      <x:c r="I15" s="1889" t="str">
        <x:v>batch diarized响应类型对应的实际功能配置。</x:v>
      </x:c>
      <x:c r="J15" s="1889" t="str">
        <x:v>共享run-batch前端统一使用TranscriptionResponseVariant；无NPU同名覆盖。修复是响应类型分派，具体diarized模型能力须另验。</x:v>
      </x:c>
      <x:c r="K15" s="1891" t="str">
        <x:v>是</x:v>
      </x:c>
      <x:c r="L15" s="1891" t="str">
        <x:v>是</x:v>
      </x:c>
      <x:c r="M15" s="1891" t="str">
        <x:v>不适用</x:v>
      </x:c>
      <x:c r="N15" s="1891" t="str">
        <x:v>直接继承修复</x:v>
      </x:c>
      <x:c r="O15" s="1889" t="str">
        <x:v>共享run-batch前端统一使用TranscriptionResponseVariant；无NPU同名覆盖。修复是响应类型分派，具体diarized模型能力须另验。</x:v>
      </x:c>
      <x:c r="P15" s="1891" t="str">
        <x:v>review</x:v>
      </x:c>
      <x:c r="Q15" s="1891" t="str">
        <x:v>P2</x:v>
      </x:c>
      <x:c r="R15" s="1889" t="str">
        <x:v>以规范非流式diarized响应stub验证batch封装不再返回400，再对可用NPU语音后端端到端回归。</x:v>
      </x:c>
      <x:c r="S15" s="1891" t="str">
        <x:v>待最小回归</x:v>
      </x:c>
      <x:c r="T15" s="1891" t="str">
        <x:v>陈睿龙</x:v>
      </x:c>
      <x:c r="U15" s="1889" t="str">
        <x:v>分支=main；GraphQL mergedAt=2026-09-21T14:55:38Z；head=aa473eebb7d3a8ae11aece941a28cb03bd54b61c；files=1</x:v>
      </x:c>
    </x:row>
    <x:row r="16" ht="93" customHeight="1">
      <x:c r="A16" s="1892" t="str">
        <x:v>BUG-53743</x:v>
      </x:c>
      <x:c r="B16" s="1892" t="str">
        <x:v>https://github.com/vllm-project/vllm/pull/53743</x:v>
      </x:c>
      <x:c r="C16" s="1892" t="str">
        <x:v>[Bugfix] Fix external LB DP rank handling when replicas share nodes</x:v>
      </x:c>
      <x:c r="D16" s="1893" t="n">
        <x:v>46286.97170138889</x:v>
      </x:c>
      <x:c r="E16" s="1892" t="str">
        <x:v>dc479a2d839d5c474b36ac521dc5a72294bcb186</x:v>
      </x:c>
      <x:c r="F16" s="1892" t="str">
        <x:v>external LB多副本共节点时nnodes_within_dp为零，显式DP rank也会被覆盖。</x:v>
      </x:c>
      <x:c r="G16" s="1892" t="str">
        <x:v>外部DP LB节点/rank</x:v>
      </x:c>
      <x:c r="H16" s="1892" t="str">
        <x:v>修改 vllm/config/parallel.py; vllm/engine/arg_utils.py; docs/serving/data_parallel_deployment.md; tests/test_config.py; tests/v1/engine/test_engine_args.py；external LB节点数至少1，保留显式rank，不可推断时要求显式指定，internal LB非法配置报错。</x:v>
      </x:c>
      <x:c r="I16" s="1892" t="str">
        <x:v>外部DP LB节点/rank对应的实际功能配置。</x:v>
      </x:c>
      <x:c r="J16" s="1892" t="str">
        <x:v>Ascend沿用ParallelConfig/EngineArgs的nnodes_within_dp和DP rank推导，未覆盖被改属性；节点数clamp及显式rank保留进入。</x:v>
      </x:c>
      <x:c r="K16" s="1894" t="str">
        <x:v>是</x:v>
      </x:c>
      <x:c r="L16" s="1894" t="str">
        <x:v>是</x:v>
      </x:c>
      <x:c r="M16" s="1894" t="str">
        <x:v>不适用</x:v>
      </x:c>
      <x:c r="N16" s="1894" t="str">
        <x:v>直接继承修复</x:v>
      </x:c>
      <x:c r="O16" s="1892" t="str">
        <x:v>Ascend沿用ParallelConfig/EngineArgs的nnodes_within_dp和DP rank推导，未覆盖被改属性；节点数clamp及显式rank保留进入。</x:v>
      </x:c>
      <x:c r="P16" s="1894" t="str">
        <x:v>review</x:v>
      </x:c>
      <x:c r="Q16" s="1894" t="str">
        <x:v>P2</x:v>
      </x:c>
      <x:c r="R16" s="1892" t="str">
        <x:v>external LB同节点多副本、显式rank、多节点不可推断情形；internal LB非法配置必须报错。Review中的_node_count修改已撤回，不宣称一并修复。</x:v>
      </x:c>
      <x:c r="S16" s="1894" t="str">
        <x:v>待最小回归</x:v>
      </x:c>
      <x:c r="T16" s="1894" t="str">
        <x:v>温捷</x:v>
      </x:c>
      <x:c r="U16" s="1892" t="str">
        <x:v>分支=main；GraphQL mergedAt=2026-09-21T15:19:15Z；head=5fb9ac98fd890aca8d13b71386eb97e2e716dc95；files=5</x:v>
      </x:c>
    </x:row>
    <x:row r="17" ht="70" customHeight="1">
      <x:c r="A17" s="1889" t="str">
        <x:v>BUG-57450</x:v>
      </x:c>
      <x:c r="B17" s="1889" t="str">
        <x:v>https://github.com/vllm-project/vllm/pull/57450</x:v>
      </x:c>
      <x:c r="C17" s="1889" t="str">
        <x:v>[ROCm][CI] Query HIP device memory for test GPU teardown waits.</x:v>
      </x:c>
      <x:c r="D17" s="1890" t="n">
        <x:v>46286.18101851852</x:v>
      </x:c>
      <x:c r="E17" s="1889" t="str">
        <x:v>01f1f58f10c616850a5f5ade129a7b58d62075fb</x:v>
      </x:c>
      <x:c r="F17" s="1889" t="str">
        <x:v>ROCm DPX测试把物理卡显存误当逻辑分区，teardown等待误判。</x:v>
      </x:c>
      <x:c r="G17" s="1889" t="str">
        <x:v>ROCm DPX测试内存</x:v>
      </x:c>
      <x:c r="H17" s="1889" t="str">
        <x:v>修改 tests/compile/passes/conftest.py; tests/conftest.py; tests/kernels/moe/conftest.py; tests/utils.py；使用HIP逻辑设备内存查询，ROCm余量调至4GiB，清理workspace。</x:v>
      </x:c>
      <x:c r="I17" s="1889" t="str">
        <x:v>ROCm DPX测试内存对应的实际功能配置。</x:v>
      </x:c>
      <x:c r="J17" s="1889" t="str">
        <x:v>改动只在HIP逻辑分区内存查询与ROCm测试清理；Ascend使用torch_npu设备内存和自有测试fixture，不执行该HIP分支。</x:v>
      </x:c>
      <x:c r="K17" s="1891" t="str">
        <x:v>否</x:v>
      </x:c>
      <x:c r="L17" s="1891" t="str">
        <x:v>否</x:v>
      </x:c>
      <x:c r="M17" s="1891" t="str">
        <x:v>不适用</x:v>
      </x:c>
      <x:c r="N17" s="1891" t="str">
        <x:v>不受影响</x:v>
      </x:c>
      <x:c r="O17" s="1889" t="str">
        <x:v>改动只在HIP逻辑分区内存查询与ROCm测试清理；Ascend使用torch_npu设备内存和自有测试fixture，不执行该HIP分支。</x:v>
      </x:c>
      <x:c r="P17" s="1891" t="str">
        <x:v>dismiss</x:v>
      </x:c>
      <x:c r="Q17" s="1891" t="str">
        <x:v>P3</x:v>
      </x:c>
      <x:c r="R17" s="1889" t="str">
        <x:v>维持当前有效实现；若启用该平台/模型路径，再以PR #57450建立专项回归。</x:v>
      </x:c>
      <x:c r="S17" s="1891" t="str">
        <x:v>静态闭环</x:v>
      </x:c>
      <x:c r="T17" s="1891" t="str">
        <x:v>张新悦</x:v>
      </x:c>
      <x:c r="U17" s="1889" t="str">
        <x:v>分支=main；GraphQL mergedAt=2026-09-20T20:20:40Z；head=33a6ca5193c75a2354cbb936b048333653b3ee2a；files=4</x:v>
      </x:c>
    </x:row>
    <x:row r="18" ht="70" customHeight="1">
      <x:c r="A18" s="1892" t="str">
        <x:v>BUG-57779</x:v>
      </x:c>
      <x:c r="B18" s="1892" t="str">
        <x:v>https://github.com/vllm-project/vllm/pull/57779</x:v>
      </x:c>
      <x:c r="C18" s="1892" t="str">
        <x:v>[XPU][UT]Bugfix when the process can't see all the world_size meet accuracy issue.</x:v>
      </x:c>
      <x:c r="D18" s="1893" t="n">
        <x:v>46286.28502314815</x:v>
      </x:c>
      <x:c r="E18" s="1892" t="str">
        <x:v>17e50b9b761023d5f2499f062507df1ff49092a4</x:v>
      </x:c>
      <x:c r="F18" s="1892" t="str">
        <x:v>XPU外部LB进程看不全设备时，不均长reduce_scatter导致精度问题。</x:v>
      </x:c>
      <x:c r="G18" s="1892" t="str">
        <x:v>XPU不均长通信</x:v>
      </x:c>
      <x:c r="H18" s="1892" t="str">
        <x:v>修改 vllm/distributed/device_communicators/xpu_communicator.py；不均长且设备不可全见时填充到统一长度，再reduce_scatter并裁剪。</x:v>
      </x:c>
      <x:c r="I18" s="1892" t="str">
        <x:v>XPU不均长通信对应的实际功能配置。</x:v>
      </x:c>
      <x:c r="J18" s="1892" t="str">
        <x:v>修复被XPU平台分支守卫；Ascend使用HCCL与NPU自有通信实现，非XPU设备可见性/reduce_scatter路径。</x:v>
      </x:c>
      <x:c r="K18" s="1894" t="str">
        <x:v>否</x:v>
      </x:c>
      <x:c r="L18" s="1894" t="str">
        <x:v>否</x:v>
      </x:c>
      <x:c r="M18" s="1894" t="str">
        <x:v>不适用</x:v>
      </x:c>
      <x:c r="N18" s="1894" t="str">
        <x:v>不受影响</x:v>
      </x:c>
      <x:c r="O18" s="1892" t="str">
        <x:v>修复被XPU平台分支守卫；Ascend使用HCCL与NPU自有通信实现，非XPU设备可见性/reduce_scatter路径。</x:v>
      </x:c>
      <x:c r="P18" s="1894" t="str">
        <x:v>dismiss</x:v>
      </x:c>
      <x:c r="Q18" s="1894" t="str">
        <x:v>P3</x:v>
      </x:c>
      <x:c r="R18" s="1892" t="str">
        <x:v>维持当前有效实现；若启用该平台/模型路径，再以PR #57779建立专项回归。</x:v>
      </x:c>
      <x:c r="S18" s="1894" t="str">
        <x:v>静态闭环</x:v>
      </x:c>
      <x:c r="T18" s="1894" t="str">
        <x:v>温捷</x:v>
      </x:c>
      <x:c r="U18" s="1892" t="str">
        <x:v>分支=main；GraphQL mergedAt=2026-09-20T22:50:26Z；head=e18a5e6817655dae8dea2eeb5b04ea71eeeae79c；files=1</x:v>
      </x:c>
    </x:row>
    <x:row r="19" ht="93" customHeight="1">
      <x:c r="A19" s="1889" t="str">
        <x:v>BUG-57460</x:v>
      </x:c>
      <x:c r="B19" s="1889" t="str">
        <x:v>https://github.com/vllm-project/vllm/pull/57460</x:v>
      </x:c>
      <x:c r="C19" s="1889" t="str">
        <x:v>[Profiler] Unify platform-aware torch profiling</x:v>
      </x:c>
      <x:c r="D19" s="1890" t="n">
        <x:v>46286.42875</x:v>
      </x:c>
      <x:c r="E19" s="1889" t="str">
        <x:v>3918f3c5a3e389fb17d9c0d629811f3745014db0</x:v>
      </x:c>
      <x:c r="F19" s="1889" t="str">
        <x:v>torch profiler对象一次性复用导致多轮采集失效，各平台配置与注解行为不一致。</x:v>
      </x:c>
      <x:c r="G19" s="1889" t="str">
        <x:v>Profiler重复启动</x:v>
      </x:c>
      <x:c r="H19" s="1889" t="str">
        <x:v>修改 vllm/config/profiler.py; vllm/profiler/wrapper.py; vllm/v1/engine/async_llm.py; vllm/v1/worker/cpu_worker.py; vllm/v1/worker/gpu_worker.py; vllm/v1/worker/xpu_worker.py；每轮新建torch profiler，统一worker工厂/活动校验，仅记录CPU活动时生成注解。</x:v>
      </x:c>
      <x:c r="I19" s="1889" t="str">
        <x:v>Profiler重复启动对应的实际功能配置。</x:v>
      </x:c>
      <x:c r="J19" s="1889" t="str">
        <x:v>TorchNPUProfilerWrapper自建torch_npu.profiler.profile一次并反复start/stop，没有继承上游TorchProfilerWrapper重建逻辑；但torch_npu是否同样不可重启尚无运行证据，不能认定同一缺陷已复现。</x:v>
      </x:c>
      <x:c r="K19" s="1891" t="str">
        <x:v>未知</x:v>
      </x:c>
      <x:c r="L19" s="1891" t="str">
        <x:v>未知</x:v>
      </x:c>
      <x:c r="M19" s="1891" t="str">
        <x:v>未知</x:v>
      </x:c>
      <x:c r="N19" s="1891" t="str">
        <x:v>待确认</x:v>
      </x:c>
      <x:c r="O19" s="1889" t="str">
        <x:v>TorchNPUProfilerWrapper自建torch_npu.profiler.profile一次并反复start/stop，没有继承上游TorchProfilerWrapper重建逻辑；但torch_npu是否同样不可重启尚无运行证据，不能认定同一缺陷已复现。</x:v>
      </x:c>
      <x:c r="P19" s="1891" t="str">
        <x:v>review</x:v>
      </x:c>
      <x:c r="Q19" s="1891" t="str">
        <x:v>P3</x:v>
      </x:c>
      <x:c r="R19" s="1889" t="str">
        <x:v>同一NPU worker连续三轮profile启停，核对每轮trace事件与资源回收；若对象不可复用，迁移每轮重建。新activities字段须单独适配，不调用上游不支持npu的工厂。</x:v>
      </x:c>
      <x:c r="S19" s="1891" t="str">
        <x:v>待确认</x:v>
      </x:c>
      <x:c r="T19" s="1891" t="str">
        <x:v>刘逸舟</x:v>
      </x:c>
      <x:c r="U19" s="1889" t="str">
        <x:v>分支=main；GraphQL mergedAt=2026-09-21T02:17:24Z；head=5c9b4dffa16fd68fd4e0eab449924148d140894b；files=9</x:v>
      </x:c>
    </x:row>
    <x:row r="20" ht="70" customHeight="1">
      <x:c r="A20" s="1892" t="str">
        <x:v>BUG-57811</x:v>
      </x:c>
      <x:c r="B20" s="1892" t="str">
        <x:v>https://github.com/vllm-project/vllm/pull/57811</x:v>
      </x:c>
      <x:c r="C20" s="1892" t="str">
        <x:v>[BUGFIX][HY4]  Record indexer completion event for full CUDA graph capture</x:v>
      </x:c>
      <x:c r="D20" s="1893" t="n">
        <x:v>46286.45777777778</x:v>
      </x:c>
      <x:c r="E20" s="1892" t="str">
        <x:v>86ce4d10e290e6179e6f1d5ee392f582814d5747</x:v>
      </x:c>
      <x:c r="F20" s="1892" t="str">
        <x:v>HY4稀疏indexer完成事件未记录，FULL图捕获缺少依赖。</x:v>
      </x:c>
      <x:c r="G20" s="1892" t="str">
        <x:v>HY4图捕获事件</x:v>
      </x:c>
      <x:c r="H20" s="1892" t="str">
        <x:v>修改 vllm/models/hy_v4/nvidia/attention.py；在稀疏分支调用record_logical_topk_ready。</x:v>
      </x:c>
      <x:c r="I20" s="1892" t="str">
        <x:v>HY4图捕获事件对应的实际功能配置。</x:v>
      </x:c>
      <x:c r="J20" s="1892" t="str">
        <x:v>修复HY4上游稀疏indexer事件；Ascend主干源码未合入HY4实现，官方教程要求专用hy4-a3镜像，不能将外部分支能力视为本次pinned主干支持。</x:v>
      </x:c>
      <x:c r="K20" s="1894" t="str">
        <x:v>否</x:v>
      </x:c>
      <x:c r="L20" s="1894" t="str">
        <x:v>否</x:v>
      </x:c>
      <x:c r="M20" s="1894" t="str">
        <x:v>不适用</x:v>
      </x:c>
      <x:c r="N20" s="1894" t="str">
        <x:v>不受影响</x:v>
      </x:c>
      <x:c r="O20" s="1892" t="str">
        <x:v>修复HY4上游稀疏indexer事件；Ascend主干源码未合入HY4实现，官方教程要求专用hy4-a3镜像，不能将外部分支能力视为本次pinned主干支持。</x:v>
      </x:c>
      <x:c r="P20" s="1894" t="str">
        <x:v>dismiss</x:v>
      </x:c>
      <x:c r="Q20" s="1894" t="str">
        <x:v>P3</x:v>
      </x:c>
      <x:c r="R20" s="1892" t="str">
        <x:v>维持当前有效实现；若启用该平台/模型路径，再以PR #57811建立专项回归。</x:v>
      </x:c>
      <x:c r="S20" s="1894" t="str">
        <x:v>静态闭环</x:v>
      </x:c>
      <x:c r="T20" s="1894" t="str">
        <x:v>刘逸舟</x:v>
      </x:c>
      <x:c r="U20" s="1892" t="str">
        <x:v>分支=main；GraphQL mergedAt=2026-09-21T02:59:12Z；head=7f9ed4a187eae939373184f6267d780d5bac046f；files=1</x:v>
      </x:c>
    </x:row>
    <x:row r="21" ht="70" customHeight="1">
      <x:c r="A21" s="1889" t="str">
        <x:v>BUG-57554</x:v>
      </x:c>
      <x:c r="B21" s="1889" t="str">
        <x:v>https://github.com/vllm-project/vllm/pull/57554</x:v>
      </x:c>
      <x:c r="C21" s="1889" t="str">
        <x:v>[Build] Fix DeepGEMM CUDA 12.9 release builds</x:v>
      </x:c>
      <x:c r="D21" s="1890" t="n">
        <x:v>46286.46806712963</x:v>
      </x:c>
      <x:c r="E21" s="1889" t="str">
        <x:v>eb87980585c10f7e5ee8f498fd3830898101d208</x:v>
      </x:c>
      <x:c r="F21" s="1889" t="str">
        <x:v>DeepGEMM头文件缺少显式CUDA FP8 include，使CUDA12.9发布构建失败。</x:v>
      </x:c>
      <x:c r="G21" s="1889" t="str">
        <x:v>DeepGEMM构建</x:v>
      </x:c>
      <x:c r="H21" s="1889" t="str">
        <x:v>修改 cmake/external_projects/deepgemm.cmake; tools/install_deepgemm.sh；同步两处依赖SHA至包含五行include修复的DeepGEMM提交。</x:v>
      </x:c>
      <x:c r="I21" s="1889" t="str">
        <x:v>DeepGEMM构建对应的实际功能配置。</x:v>
      </x:c>
      <x:c r="J21" s="1889" t="str">
        <x:v>修复DeepGEMM CUDA12.9头文件；Ascend自有NPU算子构建不编译该CUDA依赖，不能把CUDA发布失败映射成NPU安装缺陷。</x:v>
      </x:c>
      <x:c r="K21" s="1891" t="str">
        <x:v>否</x:v>
      </x:c>
      <x:c r="L21" s="1891" t="str">
        <x:v>否</x:v>
      </x:c>
      <x:c r="M21" s="1891" t="str">
        <x:v>不适用</x:v>
      </x:c>
      <x:c r="N21" s="1891" t="str">
        <x:v>不受影响</x:v>
      </x:c>
      <x:c r="O21" s="1889" t="str">
        <x:v>修复DeepGEMM CUDA12.9头文件；Ascend自有NPU算子构建不编译该CUDA依赖，不能把CUDA发布失败映射成NPU安装缺陷。</x:v>
      </x:c>
      <x:c r="P21" s="1891" t="str">
        <x:v>dismiss</x:v>
      </x:c>
      <x:c r="Q21" s="1891" t="str">
        <x:v>P3</x:v>
      </x:c>
      <x:c r="R21" s="1889" t="str">
        <x:v>维持当前有效实现；若启用该平台/模型路径，再以PR #57554建立专项回归。</x:v>
      </x:c>
      <x:c r="S21" s="1891" t="str">
        <x:v>静态闭环</x:v>
      </x:c>
      <x:c r="T21" s="1891" t="str">
        <x:v>邵圣珂</x:v>
      </x:c>
      <x:c r="U21" s="1889" t="str">
        <x:v>分支=main；GraphQL mergedAt=2026-09-21T03:14:01Z；head=54c90724970dcf92b2abfb683633fdfc61e66629；files=2</x:v>
      </x:c>
    </x:row>
    <x:row r="22" ht="70" customHeight="1">
      <x:c r="A22" s="1892" t="str">
        <x:v>BUG-57589</x:v>
      </x:c>
      <x:c r="B22" s="1892" t="str">
        <x:v>https://github.com/vllm-project/vllm/pull/57589</x:v>
      </x:c>
      <x:c r="C22" s="1892" t="str">
        <x:v>[Bugfix] DiffusionGemma: fix multimodal support</x:v>
      </x:c>
      <x:c r="D22" s="1893" t="n">
        <x:v>46286.50376157407</x:v>
      </x:c>
      <x:c r="E22" s="1892" t="str">
        <x:v>ff0c8854946b75dc0fe160756e8adff10a8da053</x:v>
      </x:c>
      <x:c r="F22" s="1892" t="str">
        <x:v>DiffusionGemma复用Gemma4图像方法但未初始化_enable_mm_lora，图像请求崩溃。</x:v>
      </x:c>
      <x:c r="G22" s="1892" t="str">
        <x:v>DiffusionGemma图像LoRA字段</x:v>
      </x:c>
      <x:c r="H22" s="1892" t="str">
        <x:v>修改 vllm/model_executor/models/diffusion_gemma.py；构造时按LoRA配置设置该标志。</x:v>
      </x:c>
      <x:c r="I22" s="1892" t="str">
        <x:v>DiffusionGemma图像LoRA字段对应的实际功能配置。</x:v>
      </x:c>
      <x:c r="J22" s="1892" t="str">
        <x:v>共享DiffusionGemma初始化修复无同名NPU重写，但扩散模型、图像和采样在当前Ascend是否可运行未证实。</x:v>
      </x:c>
      <x:c r="K22" s="1894" t="str">
        <x:v>未知</x:v>
      </x:c>
      <x:c r="L22" s="1894" t="str">
        <x:v>未知</x:v>
      </x:c>
      <x:c r="M22" s="1894" t="str">
        <x:v>未知</x:v>
      </x:c>
      <x:c r="N22" s="1894" t="str">
        <x:v>待确认</x:v>
      </x:c>
      <x:c r="O22" s="1892" t="str">
        <x:v>共享DiffusionGemma初始化修复无同名NPU重写，但扩散模型、图像和采样在当前Ascend是否可运行未证实。</x:v>
      </x:c>
      <x:c r="P22" s="1894" t="str">
        <x:v>review</x:v>
      </x:c>
      <x:c r="Q22" s="1894" t="str">
        <x:v>P3</x:v>
      </x:c>
      <x:c r="R22" s="1892" t="str">
        <x:v>先核验NPU模型/算子可达，再覆盖图像输入、LoRA开关及dummy初始化；不能仅凭共享类存在判为已闭环直接继承。</x:v>
      </x:c>
      <x:c r="S22" s="1894" t="str">
        <x:v>待确认</x:v>
      </x:c>
      <x:c r="T22" s="1894" t="str">
        <x:v>龙钢</x:v>
      </x:c>
      <x:c r="U22" s="1892" t="str">
        <x:v>分支=main；GraphQL mergedAt=2026-09-21T04:05:25Z；head=73e6401b8670937b96a5ce188fb97b7a368dffbf；files=1</x:v>
      </x:c>
    </x:row>
    <x:row r="23" ht="70" customHeight="1">
      <x:c r="A23" s="1907" t="str">
        <x:v>BUG-57855</x:v>
      </x:c>
      <x:c r="B23" s="1907" t="str">
        <x:v>https://github.com/vllm-project/vllm/pull/57855</x:v>
      </x:c>
      <x:c r="C23" s="1907" t="str">
        <x:v>[XPU][CI] fallback to 7-args of moe_align_block_size</x:v>
      </x:c>
      <x:c r="D23" s="1908" t="n">
        <x:v>46286.55243055556</x:v>
      </x:c>
      <x:c r="E23" s="1907" t="str">
        <x:v>a15dbbd63daaba913b3302a858ad7e20e6dcc219</x:v>
      </x:c>
      <x:c r="F23" s="1907" t="str">
        <x:v>XPU moe_align_block_size仍是7参接口，新增scatter_idx调用不兼容。</x:v>
      </x:c>
      <x:c r="G23" s="1907" t="str">
        <x:v>XPU MoE参数兼容</x:v>
      </x:c>
      <x:c r="H23" s="1907" t="str">
        <x:v>修改 vllm/_custom_ops.py；XPU走7参调用，显式拒绝scatter_idx。</x:v>
      </x:c>
      <x:c r="I23" s="1907" t="str">
        <x:v>XPU MoE参数兼容对应的实际功能配置。</x:v>
      </x:c>
      <x:c r="J23" s="1907" t="str">
        <x:v>改动只在XPU moe_align_block_size七参调用；NPU专家重排由自有实现完成，不执行XPU调用。</x:v>
      </x:c>
      <x:c r="K23" s="1910" t="str">
        <x:v>否</x:v>
      </x:c>
      <x:c r="L23" s="1910" t="str">
        <x:v>否</x:v>
      </x:c>
      <x:c r="M23" s="1910" t="str">
        <x:v>不适用</x:v>
      </x:c>
      <x:c r="N23" s="1910" t="str">
        <x:v>不受影响</x:v>
      </x:c>
      <x:c r="O23" s="1907" t="str">
        <x:v>改动只在XPU moe_align_block_size七参调用；NPU专家重排由自有实现完成，不执行XPU调用。</x:v>
      </x:c>
      <x:c r="P23" s="1910" t="str">
        <x:v>dismiss</x:v>
      </x:c>
      <x:c r="Q23" s="1910" t="str">
        <x:v>P3</x:v>
      </x:c>
      <x:c r="R23" s="1907" t="str">
        <x:v>维持当前有效实现；若启用该平台/模型路径，再以PR #57855建立专项回归。</x:v>
      </x:c>
      <x:c r="S23" s="1910" t="str">
        <x:v>静态闭环</x:v>
      </x:c>
      <x:c r="T23" s="1910" t="str">
        <x:v>魏谨谦</x:v>
      </x:c>
      <x:c r="U23" s="1907" t="str">
        <x:v>分支=main；GraphQL mergedAt=2026-09-21T05:15:30Z；head=874014e6bb8e9115bff635fd229fa4e26f97cf68；files=1</x:v>
      </x:c>
    </x:row>
    <x:row r="24" ht="93" customHeight="1">
      <x:c r="A24" s="1856" t="str">
        <x:v>BUG-57864</x:v>
      </x:c>
      <x:c r="B24" s="1856" t="str">
        <x:v>https://github.com/vllm-project/vllm/pull/57864</x:v>
      </x:c>
      <x:c r="C24" s="1856" t="str">
        <x:v>[ROCm][Tests] Avoid pooling cleanup waits against live shared engines</x:v>
      </x:c>
      <x:c r="D24" s="1909" t="n">
        <x:v>46286.556666666664</x:v>
      </x:c>
      <x:c r="E24" s="1856" t="str">
        <x:v>76ee20c1ec5a9d6e094ecaecd46d71a5d591d05c</x:v>
      </x:c>
      <x:c r="F24" s="1856" t="str">
        <x:v>pooling函数级清理在模块级引擎仍存活时等待显存清空，每例多等240秒。</x:v>
      </x:c>
      <x:c r="G24" s="1856" t="str">
        <x:v>ROCm测试资源生命周期</x:v>
      </x:c>
      <x:c r="H24" s="1856" t="str">
        <x:v>修改 tests/models/language/pooling/conftest.py; tests/models/language/pooling_mteb_test/conftest.py; tests/models/multimodal/pooling/conftest.py；ROCm跳过该错误生命周期下的等待，保留GC、cache清理与runner退出等待。</x:v>
      </x:c>
      <x:c r="I24" s="1856" t="str">
        <x:v>ROCm测试资源生命周期对应的实际功能配置。</x:v>
      </x:c>
      <x:c r="J24" s="1856" t="str">
        <x:v>等待跳过受ROCm分支守卫，属于上游pooling fixture生命周期；Ascend测试有自有HfRunner/VllmRunner与NPU等待逻辑，不继承该ROCm分支。</x:v>
      </x:c>
      <x:c r="K24" s="1854" t="str">
        <x:v>否</x:v>
      </x:c>
      <x:c r="L24" s="1854" t="str">
        <x:v>否</x:v>
      </x:c>
      <x:c r="M24" s="1854" t="str">
        <x:v>不适用</x:v>
      </x:c>
      <x:c r="N24" s="1854" t="str">
        <x:v>不受影响</x:v>
      </x:c>
      <x:c r="O24" s="1856" t="str">
        <x:v>等待跳过受ROCm分支守卫，属于上游pooling fixture生命周期；Ascend测试有自有HfRunner/VllmRunner与NPU等待逻辑，不继承该ROCm分支。</x:v>
      </x:c>
      <x:c r="P24" s="1854" t="str">
        <x:v>dismiss</x:v>
      </x:c>
      <x:c r="Q24" s="1854" t="str">
        <x:v>P3</x:v>
      </x:c>
      <x:c r="R24" s="1856" t="str">
        <x:v>维持当前有效实现；若启用该平台/模型路径，再以PR #57864建立专项回归。</x:v>
      </x:c>
      <x:c r="S24" s="1854" t="str">
        <x:v>静态闭环</x:v>
      </x:c>
      <x:c r="T24" s="1854" t="str">
        <x:v>张新悦</x:v>
      </x:c>
      <x:c r="U24" s="1856" t="str">
        <x:v>分支=main；GraphQL mergedAt=2026-09-21T05:21:36Z；head=4fffc8a23ecc6187a6bec8b14db70e0ab2e6737c；files=3</x:v>
      </x:c>
    </x:row>
    <x:row r="25" ht="79.5" customHeight="1">
      <x:c r="A25" s="1907" t="str">
        <x:v>BUG-57868</x:v>
      </x:c>
      <x:c r="B25" s="1907" t="str">
        <x:v>https://github.com/vllm-project/vllm/pull/57868</x:v>
      </x:c>
      <x:c r="C25" s="1907" t="str">
        <x:v>[Tests] Release HF embedding weights after prompt extraction</x:v>
      </x:c>
      <x:c r="D25" s="1908" t="n">
        <x:v>46286.560752314814</x:v>
      </x:c>
      <x:c r="E25" s="1907" t="str">
        <x:v>8ec00ec2bc2d294b742f7814041d3a3043e0a90e</x:v>
      </x:c>
      <x:c r="F25" s="1907" t="str">
        <x:v>测试提取prompt embedding时构建autograd图，HF退出后仍保留权重。</x:v>
      </x:c>
      <x:c r="G25" s="1907" t="str">
        <x:v>测试embedding梯度引用</x:v>
      </x:c>
      <x:c r="H25" s="1907" t="str">
        <x:v>修改 tests/models/language/generation/test_common.py；embedding查表置于torch.no_grad，保留MiniCPM缩放及原值。</x:v>
      </x:c>
      <x:c r="I25" s="1907" t="str">
        <x:v>测试embedding梯度引用对应的实际功能配置。</x:v>
      </x:c>
      <x:c r="J25" s="1907" t="str">
        <x:v>修复上游tests/models/language/generation/test_common.py的prompt embedding提取，不改变生产推理；Ascend本地测试使用自有tests/e2e/conftest.py，未引用该测试入口。方法可借鉴，尚未证明同一NPU泄漏。</x:v>
      </x:c>
      <x:c r="K25" s="1910" t="str">
        <x:v>否</x:v>
      </x:c>
      <x:c r="L25" s="1910" t="str">
        <x:v>否</x:v>
      </x:c>
      <x:c r="M25" s="1910" t="str">
        <x:v>不适用</x:v>
      </x:c>
      <x:c r="N25" s="1910" t="str">
        <x:v>不受影响</x:v>
      </x:c>
      <x:c r="O25" s="1907" t="str">
        <x:v>修复上游tests/models/language/generation/test_common.py的prompt embedding提取，不改变生产推理；Ascend本地测试使用自有tests/e2e/conftest.py，未引用该测试入口。方法可借鉴，尚未证明同一NPU泄漏。</x:v>
      </x:c>
      <x:c r="P25" s="1910" t="str">
        <x:v>dismiss</x:v>
      </x:c>
      <x:c r="Q25" s="1910" t="str">
        <x:v>P3</x:v>
      </x:c>
      <x:c r="R25" s="1907" t="str">
        <x:v>维持当前有效实现；若启用该平台/模型路径，再以PR #57868建立专项回归。</x:v>
      </x:c>
      <x:c r="S25" s="1910" t="str">
        <x:v>静态闭环</x:v>
      </x:c>
      <x:c r="T25" s="1910" t="str">
        <x:v>张新悦</x:v>
      </x:c>
      <x:c r="U25" s="1907" t="str">
        <x:v>分支=main；GraphQL mergedAt=2026-09-21T05:27:29Z；head=d2fdf450b78ad898fcf07db73bc0428f1eb4a154；files=1</x:v>
      </x:c>
    </x:row>
    <x:row r="26" ht="70" customHeight="1">
      <x:c r="A26" s="1856" t="str">
        <x:v>BUG-57769</x:v>
      </x:c>
      <x:c r="B26" s="1856" t="str">
        <x:v>https://github.com/vllm-project/vllm/pull/57769</x:v>
      </x:c>
      <x:c r="C26" s="1856" t="str">
        <x:v>[Bugfix] Fix Whisper engine crash on audio clips longer than 30s</x:v>
      </x:c>
      <x:c r="D26" s="1909" t="n">
        <x:v>46286.572696759256</x:v>
      </x:c>
      <x:c r="E26" s="1856" t="str">
        <x:v>59f15272802077724c4ed483ea8ad393725554e4</x:v>
      </x:c>
      <x:c r="F26" s="1856" t="str">
        <x:v>Whisper离线超过30秒音频受truncation=False影响，特征长度超出位置编码导致engine崩溃。</x:v>
      </x:c>
      <x:c r="G26" s="1856" t="str">
        <x:v>Whisper超长离线音频</x:v>
      </x:c>
      <x:c r="H26" s="1856" t="str">
        <x:v>修改 vllm/model_executor/models/whisper.py; tests/models/multimodal/processing/test_whisper.py；Whisper处理器调用HF时显式truncation=True。</x:v>
      </x:c>
      <x:c r="I26" s="1856" t="str">
        <x:v>Whisper超长离线音频对应的实际功能配置。</x:v>
      </x:c>
      <x:c r="J26" s="1856" t="str">
        <x:v>共享Whisper processor修复无NPU覆盖；Ascend支持矩阵标不支持、发行说明曾列实验支持，实际模型组合能力证据不一致，保留可达性核验。</x:v>
      </x:c>
      <x:c r="K26" s="1854" t="str">
        <x:v>未知</x:v>
      </x:c>
      <x:c r="L26" s="1854" t="str">
        <x:v>未知</x:v>
      </x:c>
      <x:c r="M26" s="1854" t="str">
        <x:v>未知</x:v>
      </x:c>
      <x:c r="N26" s="1854" t="str">
        <x:v>待确认</x:v>
      </x:c>
      <x:c r="O26" s="1856" t="str">
        <x:v>共享Whisper processor修复无NPU覆盖；Ascend支持矩阵标不支持、发行说明曾列实验支持，实际模型组合能力证据不一致，保留可达性核验。</x:v>
      </x:c>
      <x:c r="P26" s="1854" t="str">
        <x:v>review</x:v>
      </x:c>
      <x:c r="Q26" s="1854" t="str">
        <x:v>P3</x:v>
      </x:c>
      <x:c r="R26" s="1856" t="str">
        <x:v>确认实际NPU Whisper版本，离线LLM输入&gt;30秒音频测试截断；与已分块HTTP端点分开，验证位置编码长度和音频尾部处理。</x:v>
      </x:c>
      <x:c r="S26" s="1854" t="str">
        <x:v>待确认</x:v>
      </x:c>
      <x:c r="T26" s="1854" t="str">
        <x:v>陈睿龙</x:v>
      </x:c>
      <x:c r="U26" s="1856" t="str">
        <x:v>分支=main；GraphQL mergedAt=2026-09-21T05:44:41Z；head=bd477f7a64e750ee77b2506fe9c031ce7c97f3be；files=2</x:v>
      </x:c>
    </x:row>
    <x:row r="27" ht="93" customHeight="1">
      <x:c r="A27" s="1907" t="str">
        <x:v>BUG-57874</x:v>
      </x:c>
      <x:c r="B27" s="1907" t="str">
        <x:v>https://github.com/vllm-project/vllm/pull/57874</x:v>
      </x:c>
      <x:c r="C27" s="1907" t="str">
        <x:v>[Bugfix][DSV4.1] Restrict mHC overlap to full CUDA graphs</x:v>
      </x:c>
      <x:c r="D27" s="1908" t="n">
        <x:v>46286.67847222222</x:v>
      </x:c>
      <x:c r="E27" s="1907" t="str">
        <x:v>67513c8b67e2439934ce7c0ba5a18c2e859f5c53</x:v>
      </x:c>
      <x:c r="F27" s="1907" t="str">
        <x:v>小batch eager走overlap而PIECEWISE走Mega mHC，流本地barrier未预热导致启动失败。</x:v>
      </x:c>
      <x:c r="G27" s="1907" t="str">
        <x:v>mHC overlap捕获门禁</x:v>
      </x:c>
      <x:c r="H27" s="1907" t="str">
        <x:v>修改 vllm/models/deepseek_v41/nvidia/model.py; vllm/models/deepseek_v41/nvidia/ops/mega_mhc.py; vllm/models/deepseek_v41/nvidia/ops/mhc.py; tests/kernels/test_mhc_kernels.py；overlap只在真实FULL捕获中开启，eager/PIECEWISE使用原生路径。</x:v>
      </x:c>
      <x:c r="I27" s="1907" t="str">
        <x:v>mHC overlap捕获门禁对应的实际功能配置。</x:v>
      </x:c>
      <x:c r="J27" s="1907" t="str">
        <x:v>Ascend注册自有DeepSeekV4.1及npu_hc_pre_v3/npu_hc_post，不进入SM100 Mega/overlap分支，也没有其流本地barrier生产者。</x:v>
      </x:c>
      <x:c r="K27" s="1910" t="str">
        <x:v>否</x:v>
      </x:c>
      <x:c r="L27" s="1910" t="str">
        <x:v>否</x:v>
      </x:c>
      <x:c r="M27" s="1910" t="str">
        <x:v>不适用</x:v>
      </x:c>
      <x:c r="N27" s="1910" t="str">
        <x:v>不受影响</x:v>
      </x:c>
      <x:c r="O27" s="1907" t="str">
        <x:v>Ascend注册自有DeepSeekV4.1及npu_hc_pre_v3/npu_hc_post，不进入SM100 Mega/overlap分支，也没有其流本地barrier生产者。</x:v>
      </x:c>
      <x:c r="P27" s="1910" t="str">
        <x:v>dismiss</x:v>
      </x:c>
      <x:c r="Q27" s="1910" t="str">
        <x:v>P3</x:v>
      </x:c>
      <x:c r="R27" s="1907" t="str">
        <x:v>维持当前有效实现；若启用该平台/模型路径，再以PR #57874建立专项回归。</x:v>
      </x:c>
      <x:c r="S27" s="1910" t="str">
        <x:v>静态闭环</x:v>
      </x:c>
      <x:c r="T27" s="1910" t="str">
        <x:v>刘逸舟</x:v>
      </x:c>
      <x:c r="U27" s="1907" t="str">
        <x:v>分支=main；GraphQL mergedAt=2026-09-21T08:17:00Z；head=4ac78acaa119551e636a23206b217896f2383477；files=4</x:v>
      </x:c>
    </x:row>
    <x:row r="28" ht="79.5" customHeight="1">
      <x:c r="A28" s="1856" t="str">
        <x:v>BUG-57526</x:v>
      </x:c>
      <x:c r="B28" s="1856" t="str">
        <x:v>https://github.com/vllm-project/vllm/pull/57526</x:v>
      </x:c>
      <x:c r="C28" s="1856" t="str">
        <x:v>[Perf][ROCm] Add a ROCm path for Hy4 and compile the backbone</x:v>
      </x:c>
      <x:c r="D28" s="1909" t="n">
        <x:v>46286.68106481482</x:v>
      </x:c>
      <x:c r="E28" s="1856" t="str">
        <x:v>0ff0477ff955154f37db48791260cdf27fa35e60</x:v>
      </x:c>
      <x:c r="F28" s="1856" t="str">
        <x:v>HY4 ROCm没有独立可compile骨干，图模式退化eager或捕获失败。</x:v>
      </x:c>
      <x:c r="G28" s="1856" t="str">
        <x:v>HY4 ROCm图支持</x:v>
      </x:c>
      <x:c r="H28" s="1856" t="str">
        <x:v>修改 vllm/models/hy_v4/__init__.py; vllm/models/hy_v4/amd/__init__.py; vllm/models/hy_v4/amd/model.py; tests/models/test_hyv4_rocm.py；新增AMD模型并标记support_torch_compile，保留NVIDIA和draft路径。</x:v>
      </x:c>
      <x:c r="I28" s="1856" t="str">
        <x:v>HY4 ROCm图支持对应的实际功能配置。</x:v>
      </x:c>
      <x:c r="J28" s="1856" t="str">
        <x:v>修复AMD HY4 backbone compile路径；Ascend主干HY4仍依赖教程所指外部镜像，且NPU使用ACLgraph而非AMD骨干。</x:v>
      </x:c>
      <x:c r="K28" s="1854" t="str">
        <x:v>否</x:v>
      </x:c>
      <x:c r="L28" s="1854" t="str">
        <x:v>否</x:v>
      </x:c>
      <x:c r="M28" s="1854" t="str">
        <x:v>不适用</x:v>
      </x:c>
      <x:c r="N28" s="1854" t="str">
        <x:v>不受影响</x:v>
      </x:c>
      <x:c r="O28" s="1856" t="str">
        <x:v>修复AMD HY4 backbone compile路径；Ascend主干HY4仍依赖教程所指外部镜像，且NPU使用ACLgraph而非AMD骨干。</x:v>
      </x:c>
      <x:c r="P28" s="1854" t="str">
        <x:v>dismiss</x:v>
      </x:c>
      <x:c r="Q28" s="1854" t="str">
        <x:v>P3</x:v>
      </x:c>
      <x:c r="R28" s="1856" t="str">
        <x:v>维持当前有效实现；若启用该平台/模型路径，再以PR #57526建立专项回归。</x:v>
      </x:c>
      <x:c r="S28" s="1854" t="str">
        <x:v>静态闭环</x:v>
      </x:c>
      <x:c r="T28" s="1854" t="str">
        <x:v>刘逸舟</x:v>
      </x:c>
      <x:c r="U28" s="1856" t="str">
        <x:v>分支=main；GraphQL mergedAt=2026-09-21T08:20:44Z；head=4f37b3bea5bc27ccf6bde24ffb933300280ab899；files=4</x:v>
      </x:c>
    </x:row>
    <x:row r="29" ht="70" customHeight="1">
      <x:c r="A29" s="1907" t="str">
        <x:v>BUG-57870</x:v>
      </x:c>
      <x:c r="B29" s="1907" t="str">
        <x:v>https://github.com/vllm-project/vllm/pull/57870</x:v>
      </x:c>
      <x:c r="C29" s="1907" t="str">
        <x:v>[CI][ROCm] Make Python-only installation failures blocking</x:v>
      </x:c>
      <x:c r="D29" s="1908" t="n">
        <x:v>46286.686840277776</x:v>
      </x:c>
      <x:c r="E29" s="1907" t="str">
        <x:v>f05b88751ec74b66ee27eb38f65fdfdda6161239</x:v>
      </x:c>
      <x:c r="F29" s="1907" t="str">
        <x:v>AMD Python-only安装失败被soft_fail掩盖，CI仍通过。</x:v>
      </x:c>
      <x:c r="G29" s="1907" t="str">
        <x:v>ROCm安装CI掩盖失败</x:v>
      </x:c>
      <x:c r="H29" s="1907" t="str">
        <x:v>修改 .buildkite/test_areas/misc.yaml；移除soft_fail覆盖，继承硬失败策略。</x:v>
      </x:c>
      <x:c r="I29" s="1907" t="str">
        <x:v>ROCm安装CI掩盖失败对应的实际功能配置。</x:v>
      </x:c>
      <x:c r="J29" s="1907" t="str">
        <x:v>只移除AMD Python-only job soft_fail；Ascend有独立CI工作流，不执行该AMD安装job，未改变生产安装语义。</x:v>
      </x:c>
      <x:c r="K29" s="1910" t="str">
        <x:v>否</x:v>
      </x:c>
      <x:c r="L29" s="1910" t="str">
        <x:v>否</x:v>
      </x:c>
      <x:c r="M29" s="1910" t="str">
        <x:v>不适用</x:v>
      </x:c>
      <x:c r="N29" s="1910" t="str">
        <x:v>不受影响</x:v>
      </x:c>
      <x:c r="O29" s="1907" t="str">
        <x:v>只移除AMD Python-only job soft_fail；Ascend有独立CI工作流，不执行该AMD安装job，未改变生产安装语义。</x:v>
      </x:c>
      <x:c r="P29" s="1910" t="str">
        <x:v>dismiss</x:v>
      </x:c>
      <x:c r="Q29" s="1910" t="str">
        <x:v>P3</x:v>
      </x:c>
      <x:c r="R29" s="1907" t="str">
        <x:v>维持当前有效实现；若启用该平台/模型路径，再以PR #57870建立专项回归。</x:v>
      </x:c>
      <x:c r="S29" s="1910" t="str">
        <x:v>静态闭环</x:v>
      </x:c>
      <x:c r="T29" s="1910" t="str">
        <x:v>张新悦</x:v>
      </x:c>
      <x:c r="U29" s="1907" t="str">
        <x:v>分支=main；GraphQL mergedAt=2026-09-21T08:29:03Z；head=9e3b11c1281e6ffaf485ef0ea149445bfae76b3a；files=1</x:v>
      </x:c>
    </x:row>
    <x:row r="30" ht="70" customHeight="1">
      <x:c r="A30" s="1856" t="str">
        <x:v>BUG-57903</x:v>
      </x:c>
      <x:c r="B30" s="1856" t="str">
        <x:v>https://github.com/vllm-project/vllm/pull/57903</x:v>
      </x:c>
      <x:c r="C30" s="1856" t="str">
        <x:v>[CI][ROCm] Increase timeout for MI300 Distributed DP Extended</x:v>
      </x:c>
      <x:c r="D30" s="1909" t="n">
        <x:v>46286.7215162037</x:v>
      </x:c>
      <x:c r="E30" s="1856" t="str">
        <x:v>0aee727ff6131a1b647941186ceef8f4777bdac2</x:v>
      </x:c>
      <x:c r="F30" s="1856" t="str">
        <x:v>MI300分布式DP扩展测试接近60分钟上限，正常运行也被终止。</x:v>
      </x:c>
      <x:c r="G30" s="1856" t="str">
        <x:v>ROCm分布式CI超时</x:v>
      </x:c>
      <x:c r="H30" s="1856" t="str">
        <x:v>修改 .buildkite/test-amd.yaml；超时由60改为75分钟。</x:v>
      </x:c>
      <x:c r="I30" s="1856" t="str">
        <x:v>ROCm分布式CI超时对应的实际功能配置。</x:v>
      </x:c>
      <x:c r="J30" s="1856" t="str">
        <x:v>只调整MI300 DP扩展测试60至75分钟超时；Ascend工作流不是该job，不能记为NPU性能或稳定性已修复。</x:v>
      </x:c>
      <x:c r="K30" s="1854" t="str">
        <x:v>否</x:v>
      </x:c>
      <x:c r="L30" s="1854" t="str">
        <x:v>否</x:v>
      </x:c>
      <x:c r="M30" s="1854" t="str">
        <x:v>不适用</x:v>
      </x:c>
      <x:c r="N30" s="1854" t="str">
        <x:v>不受影响</x:v>
      </x:c>
      <x:c r="O30" s="1856" t="str">
        <x:v>只调整MI300 DP扩展测试60至75分钟超时；Ascend工作流不是该job，不能记为NPU性能或稳定性已修复。</x:v>
      </x:c>
      <x:c r="P30" s="1854" t="str">
        <x:v>dismiss</x:v>
      </x:c>
      <x:c r="Q30" s="1854" t="str">
        <x:v>P3</x:v>
      </x:c>
      <x:c r="R30" s="1856" t="str">
        <x:v>维持当前有效实现；若启用该平台/模型路径，再以PR #57903建立专项回归。</x:v>
      </x:c>
      <x:c r="S30" s="1854" t="str">
        <x:v>静态闭环</x:v>
      </x:c>
      <x:c r="T30" s="1854" t="str">
        <x:v>张新悦</x:v>
      </x:c>
      <x:c r="U30" s="1856" t="str">
        <x:v>分支=main；GraphQL mergedAt=2026-09-21T09:18:59Z；head=8d749925902031a737b254280ada68a9a6668d1a；files=1</x:v>
      </x:c>
    </x:row>
    <x:row r="31" ht="70" customHeight="1">
      <x:c r="A31" s="1907" t="str">
        <x:v>BUG-57906</x:v>
      </x:c>
      <x:c r="B31" s="1907" t="str">
        <x:v>https://github.com/vllm-project/vllm/pull/57906</x:v>
      </x:c>
      <x:c r="C31" s="1907" t="str">
        <x:v>[Bugfix][ROCm][DSv4.1] Disable SWA bounded replay on ROCm</x:v>
      </x:c>
      <x:c r="D31" s="1908" t="n">
        <x:v>46286.7703125</x:v>
      </x:c>
      <x:c r="E31" s="1907" t="str">
        <x:v>04c1f4a407962a37d01b573f3a2aba91dd2ed3a9</x:v>
      </x:c>
      <x:c r="F31" s="1907" t="str">
        <x:v>ROCm sparse SWA缺少prefill窗口clamp，bounded replay遇prefix重放访问padding后越界。</x:v>
      </x:c>
      <x:c r="G31" s="1907" t="str">
        <x:v>ROCm SWA bounded replay</x:v>
      </x:c>
      <x:c r="H31" s="1907" t="str">
        <x:v>修改 vllm/models/deepseek_v41/attention.py；在ROCm禁用bounded replay，恢复SWA参与prefix cache的旧语义。</x:v>
      </x:c>
      <x:c r="I31" s="1907" t="str">
        <x:v>ROCm SWA bounded replay对应的实际功能配置。</x:v>
      </x:c>
      <x:c r="J31" s="1907" t="str">
        <x:v>ROCm缺少prefill window clamp而禁用bounded replay；Ascend自有SFA attention/元数据与NPU算子，不调用该ROCm sparse SWA consumer，不能仅同名SWA判同一缺陷。</x:v>
      </x:c>
      <x:c r="K31" s="1910" t="str">
        <x:v>否</x:v>
      </x:c>
      <x:c r="L31" s="1910" t="str">
        <x:v>否</x:v>
      </x:c>
      <x:c r="M31" s="1910" t="str">
        <x:v>不适用</x:v>
      </x:c>
      <x:c r="N31" s="1910" t="str">
        <x:v>不受影响</x:v>
      </x:c>
      <x:c r="O31" s="1907" t="str">
        <x:v>ROCm缺少prefill window clamp而禁用bounded replay；Ascend自有SFA attention/元数据与NPU算子，不调用该ROCm sparse SWA consumer，不能仅同名SWA判同一缺陷。</x:v>
      </x:c>
      <x:c r="P31" s="1910" t="str">
        <x:v>dismiss</x:v>
      </x:c>
      <x:c r="Q31" s="1910" t="str">
        <x:v>P3</x:v>
      </x:c>
      <x:c r="R31" s="1907" t="str">
        <x:v>维持当前有效实现；若启用该平台/模型路径，再以PR #57906建立专项回归。</x:v>
      </x:c>
      <x:c r="S31" s="1910" t="str">
        <x:v>静态闭环</x:v>
      </x:c>
      <x:c r="T31" s="1910" t="str">
        <x:v>陈梦龙</x:v>
      </x:c>
      <x:c r="U31" s="1907" t="str">
        <x:v>分支=main；GraphQL mergedAt=2026-09-21T10:29:15Z；head=a054b3809686f1e760f8beba990bf769d942a6c5；files=1</x:v>
      </x:c>
    </x:row>
    <x:row r="32" ht="70" customHeight="1">
      <x:c r="A32" s="1856" t="str">
        <x:v>BUG-57234</x:v>
      </x:c>
      <x:c r="B32" s="1856" t="str">
        <x:v>https://github.com/vllm-project/vllm/pull/57234</x:v>
      </x:c>
      <x:c r="C32" s="1856" t="str">
        <x:v>[Bugfix][Multimodal] Tolerate malformed EXIF in Molmo 2 image preprocessing</x:v>
      </x:c>
      <x:c r="D32" s="1909" t="n">
        <x:v>46286.894224537034</x:v>
      </x:c>
      <x:c r="E32" s="1856" t="str">
        <x:v>606d124b377e6462fe0f9076df4d50c88e4dcf48</x:v>
      </x:c>
      <x:c r="F32" s="1856" t="str">
        <x:v>Molmo2重复EXIF解析仍可抛异常，hasher修复后请求继续500。</x:v>
      </x:c>
      <x:c r="G32" s="1856" t="str">
        <x:v>Molmo2 EXIF异常</x:v>
      </x:c>
      <x:c r="H32" s="1856" t="str">
        <x:v>修改 vllm/model_executor/models/molmo2.py；复用带异常容忍的normalize_image。</x:v>
      </x:c>
      <x:c r="I32" s="1856" t="str">
        <x:v>Molmo2 EXIF异常对应的实际功能配置。</x:v>
      </x:c>
      <x:c r="J32" s="1856" t="str">
        <x:v>共享normalize_image修复存在，但Ascend pinned基线未找到Molmo2可运行证明，不能因无覆盖就断言实际可达。</x:v>
      </x:c>
      <x:c r="K32" s="1854" t="str">
        <x:v>未知</x:v>
      </x:c>
      <x:c r="L32" s="1854" t="str">
        <x:v>未知</x:v>
      </x:c>
      <x:c r="M32" s="1854" t="str">
        <x:v>未知</x:v>
      </x:c>
      <x:c r="N32" s="1854" t="str">
        <x:v>待确认</x:v>
      </x:c>
      <x:c r="O32" s="1856" t="str">
        <x:v>共享normalize_image修复存在，但Ascend pinned基线未找到Molmo2可运行证明，不能因无覆盖就断言实际可达。</x:v>
      </x:c>
      <x:c r="P32" s="1854" t="str">
        <x:v>review</x:v>
      </x:c>
      <x:c r="Q32" s="1854" t="str">
        <x:v>P3</x:v>
      </x:c>
      <x:c r="R32" s="1856" t="str">
        <x:v>先确认Molmo2模型能力，用新鲜Pillow对象复现第二次EXIF解析异常；覆盖损坏EXIF与正常方向信息，最终PR缺少新增测试需补。</x:v>
      </x:c>
      <x:c r="S32" s="1854" t="str">
        <x:v>待确认</x:v>
      </x:c>
      <x:c r="T32" s="1854" t="str">
        <x:v>龙钢</x:v>
      </x:c>
      <x:c r="U32" s="1856" t="str">
        <x:v>分支=main；GraphQL mergedAt=2026-09-21T13:27:41Z；head=5a8c4e8c45794ce005980a6002e50f6de4c0c60c；files=1</x:v>
      </x:c>
    </x:row>
    <x:row r="33" ht="106.5" customHeight="1">
      <x:c r="A33" s="1907" t="str">
        <x:v>BUG-57389</x:v>
      </x:c>
      <x:c r="B33" s="1907" t="str">
        <x:v>https://github.com/vllm-project/vllm/pull/57389</x:v>
      </x:c>
      <x:c r="C33" s="1907" t="str">
        <x:v>[Bugfix][NIXL] Fix DCP pulls across MLA cache regions</x:v>
      </x:c>
      <x:c r="D33" s="1908" t="n">
        <x:v>46286.99849537037</x:v>
      </x:c>
      <x:c r="E33" s="1907" t="str">
        <x:v>8c0825090df8b7939a92ff22b02bc7d03cb3605a</x:v>
      </x:c>
      <x:c r="F33" s="1907" t="str">
        <x:v>NIXL异构MLA cache区域映射假设单source rank，DCP prefiller无法正确拉取。</x:v>
      </x:c>
      <x:c r="G33" s="1907" t="str">
        <x:v>NIXL异构MLA DCP</x:v>
      </x:c>
      <x:c r="H33" s="1907" t="str">
        <x:v>修改 vllm/distributed/kv_transfer/kv_connector/v1/nixl/base_worker.py; vllm/distributed/kv_transfer/kv_connector/v1/nixl/pull_worker.py; tests/v1/kv_connector/unit/test_nixl_connector_hma.py；每个source rank按region和prefix跳过量构建READ，截断到真实长度并清padding。</x:v>
      </x:c>
      <x:c r="I33" s="1907" t="str">
        <x:v>NIXL异构MLA DCP对应的实际功能配置。</x:v>
      </x:c>
      <x:c r="J33" s="1907" t="str">
        <x:v>Ascend主要注册自有Mooncake等连接器，源码未发现NIXL实现；但外部NIXL插件是否可用不能由缺少注册独断，异构MLA/DCP组合可达性尚未证实。</x:v>
      </x:c>
      <x:c r="K33" s="1910" t="str">
        <x:v>未知</x:v>
      </x:c>
      <x:c r="L33" s="1910" t="str">
        <x:v>未知</x:v>
      </x:c>
      <x:c r="M33" s="1910" t="str">
        <x:v>未知</x:v>
      </x:c>
      <x:c r="N33" s="1910" t="str">
        <x:v>待确认</x:v>
      </x:c>
      <x:c r="O33" s="1907" t="str">
        <x:v>Ascend主要注册自有Mooncake等连接器，源码未发现NIXL实现；但外部NIXL插件是否可用不能由缺少注册独断，异构MLA/DCP组合可达性尚未证实。</x:v>
      </x:c>
      <x:c r="P33" s="1910" t="str">
        <x:v>review</x:v>
      </x:c>
      <x:c r="Q33" s="1910" t="str">
        <x:v>P3</x:v>
      </x:c>
      <x:c r="R33" s="1907" t="str">
        <x:v>先核验NPU NIXL插件及HiSparse/DCP支持；若可达，逐source rank检查region地址、prefix跳过、padding清零及逻辑物理block比例。</x:v>
      </x:c>
      <x:c r="S33" s="1910" t="str">
        <x:v>待确认</x:v>
      </x:c>
      <x:c r="T33" s="1910" t="str">
        <x:v>周学荣</x:v>
      </x:c>
      <x:c r="U33" s="1907" t="str">
        <x:v>分支=main；GraphQL mergedAt=2026-09-21T15:57:50Z；head=3bf7b0fa6ab3be0b5aa988a7e183a4487a82ea35；files=3</x:v>
      </x:c>
    </x:row>
    <x:row r="34" ht="70" customHeight="1">
      <x:c r="A34" s="1856" t="str">
        <x:v>BUG-55001</x:v>
      </x:c>
      <x:c r="B34" s="1856" t="str">
        <x:v>https://github.com/vllm-project/vllm/pull/55001</x:v>
      </x:c>
      <x:c r="C34" s="1856" t="str">
        <x:v>[ROCm] Refactor tuned gemms</x:v>
      </x:c>
      <x:c r="D34" s="1909" t="n">
        <x:v>46287.02101851852</x:v>
      </x:c>
      <x:c r="E34" s="1856" t="str">
        <x:v>874a6b5a06f19c9d565d14ebe64131d6aaab91cd</x:v>
      </x:c>
      <x:c r="F34" s="1856" t="str">
        <x:v>ROCm GEMM硬编码tuned列表过时，packed K单位及架构过滤错误。</x:v>
      </x:c>
      <x:c r="G34" s="1856" t="str">
        <x:v>ROCm GEMM调优选核</x:v>
      </x:c>
      <x:c r="H34" s="1856" t="str">
        <x:v>修改 vllm/_aiter_ops.py; tests/kernels/quantization/test_rocm_mxfp4.py；调用AITER原生配置查询并缓存结果，按packed字节转换K。</x:v>
      </x:c>
      <x:c r="I34" s="1856" t="str">
        <x:v>ROCm GEMM调优选核对应的实际功能配置。</x:v>
      </x:c>
      <x:c r="J34" s="1856" t="str">
        <x:v>NPU自有量化/矩阵乘不调用AITER tuned配置查询，无gfx950/CU和packedK相同协议；可借鉴配置事实源，不存在本次AITER缺陷直接承接。</x:v>
      </x:c>
      <x:c r="K34" s="1854" t="str">
        <x:v>否</x:v>
      </x:c>
      <x:c r="L34" s="1854" t="str">
        <x:v>否</x:v>
      </x:c>
      <x:c r="M34" s="1854" t="str">
        <x:v>不适用</x:v>
      </x:c>
      <x:c r="N34" s="1854" t="str">
        <x:v>不受影响</x:v>
      </x:c>
      <x:c r="O34" s="1856" t="str">
        <x:v>NPU自有量化/矩阵乘不调用AITER tuned配置查询，无gfx950/CU和packedK相同协议；可借鉴配置事实源，不存在本次AITER缺陷直接承接。</x:v>
      </x:c>
      <x:c r="P34" s="1854" t="str">
        <x:v>dismiss</x:v>
      </x:c>
      <x:c r="Q34" s="1854" t="str">
        <x:v>P3</x:v>
      </x:c>
      <x:c r="R34" s="1856" t="str">
        <x:v>维持当前有效实现；若启用该平台/模型路径，再以PR #55001建立专项回归。</x:v>
      </x:c>
      <x:c r="S34" s="1854" t="str">
        <x:v>静态闭环</x:v>
      </x:c>
      <x:c r="T34" s="1854" t="str">
        <x:v>王锟鹏</x:v>
      </x:c>
      <x:c r="U34" s="1856" t="str">
        <x:v>分支=main；GraphQL mergedAt=2026-09-21T16:30:16Z；head=2ade142f6678f94feb3877d59669898ac2313beb；files=2</x:v>
      </x:c>
    </x:row>
    <x:row r="35" ht="70" customHeight="1">
      <x:c r="A35" s="1907" t="str">
        <x:v>BUG-55767</x:v>
      </x:c>
      <x:c r="B35" s="1907" t="str">
        <x:v>https://github.com/vllm-project/vllm/pull/55767</x:v>
      </x:c>
      <x:c r="C35" s="1907" t="str">
        <x:v>[Bugfix] unskip InternViT test for transformers v5 compatibility</x:v>
      </x:c>
      <x:c r="D35" s="1908" t="n">
        <x:v>46287.02667824074</x:v>
      </x:c>
      <x:c r="E35" s="1907" t="str">
        <x:v>4e61ad8ee126bf01dbc4d28979014a30628309ed</x:v>
      </x:c>
      <x:c r="F35" s="1907" t="str">
        <x:v>InternViT HF参考代码未初始化tied-weight元数据，transformers5加载失败导致测试跳过。</x:v>
      </x:c>
      <x:c r="G35" s="1907" t="str">
        <x:v>InternViT参考测试加载</x:v>
      </x:c>
      <x:c r="H35" s="1907" t="str">
        <x:v>修改 tests/models/multimodal/pooling/test_intern_vit.py；测试中暂时patch初始化空all_tied_weights_keys，退出后恢复，取消skip。</x:v>
      </x:c>
      <x:c r="I35" s="1907" t="str">
        <x:v>InternViT参考测试加载对应的实际功能配置。</x:v>
      </x:c>
      <x:c r="J35" s="1907" t="str">
        <x:v>仅修改上游InternViT HF测试的临时构造patch与skip；NPU生产模型无此改动，本地自有参考runner未复用该fixture。</x:v>
      </x:c>
      <x:c r="K35" s="1910" t="str">
        <x:v>否</x:v>
      </x:c>
      <x:c r="L35" s="1910" t="str">
        <x:v>否</x:v>
      </x:c>
      <x:c r="M35" s="1910" t="str">
        <x:v>不适用</x:v>
      </x:c>
      <x:c r="N35" s="1910" t="str">
        <x:v>不受影响</x:v>
      </x:c>
      <x:c r="O35" s="1907" t="str">
        <x:v>仅修改上游InternViT HF测试的临时构造patch与skip；NPU生产模型无此改动，本地自有参考runner未复用该fixture。</x:v>
      </x:c>
      <x:c r="P35" s="1910" t="str">
        <x:v>dismiss</x:v>
      </x:c>
      <x:c r="Q35" s="1910" t="str">
        <x:v>P3</x:v>
      </x:c>
      <x:c r="R35" s="1907" t="str">
        <x:v>维持当前有效实现；若启用该平台/模型路径，再以PR #55767建立专项回归。</x:v>
      </x:c>
      <x:c r="S35" s="1910" t="str">
        <x:v>静态闭环</x:v>
      </x:c>
      <x:c r="T35" s="1910" t="str">
        <x:v>龙钢</x:v>
      </x:c>
      <x:c r="U35" s="1907" t="str">
        <x:v>分支=main；GraphQL mergedAt=2026-09-21T16:38:25Z；head=4c9c999ff4483554cc25e10c257e50cfaae1448c；files=1</x:v>
      </x:c>
    </x:row>
    <x:row r="36" ht="70" customHeight="1">
      <x:c r="A36" s="1856" t="str">
        <x:v>BUG-57931</x:v>
      </x:c>
      <x:c r="B36" s="1856" t="str">
        <x:v>https://github.com/vllm-project/vllm/pull/57931</x:v>
      </x:c>
      <x:c r="C36" s="1856" t="str">
        <x:v>[ROCm][CI] Use ROCm backend for DeepSeek V4.1 ViT test</x:v>
      </x:c>
      <x:c r="D36" s="1909" t="n">
        <x:v>46287.027453703704</x:v>
      </x:c>
      <x:c r="E36" s="1856" t="str">
        <x:v>4f1451679088e5832bce0965a254295c854aaa09</x:v>
      </x:c>
      <x:c r="F36" s="1856" t="str">
        <x:v>DSV4.1 ViT单测在ROCm硬编码NVIDIA backend，初始化失败。</x:v>
      </x:c>
      <x:c r="G36" s="1856" t="str">
        <x:v>ROCm ViT测试后端</x:v>
      </x:c>
      <x:c r="H36" s="1856" t="str">
        <x:v>修改 tests/models/multimodal/generation/test_vit_cudagraph.py；ROCm选ROCM_FLASHMLA_SPARSE_DSV4，其余保持原值。</x:v>
      </x:c>
      <x:c r="I36" s="1856" t="str">
        <x:v>ROCm ViT测试后端对应的实际功能配置。</x:v>
      </x:c>
      <x:c r="J36" s="1856" t="str">
        <x:v>仅给ROCm测试选ROCM_FLASHMLA_SPARSE_DSV4；NPU自有视觉/ACLgraph测试不执行该AMD条件分支。</x:v>
      </x:c>
      <x:c r="K36" s="1854" t="str">
        <x:v>否</x:v>
      </x:c>
      <x:c r="L36" s="1854" t="str">
        <x:v>否</x:v>
      </x:c>
      <x:c r="M36" s="1854" t="str">
        <x:v>不适用</x:v>
      </x:c>
      <x:c r="N36" s="1854" t="str">
        <x:v>不受影响</x:v>
      </x:c>
      <x:c r="O36" s="1856" t="str">
        <x:v>仅给ROCm测试选ROCM_FLASHMLA_SPARSE_DSV4；NPU自有视觉/ACLgraph测试不执行该AMD条件分支。</x:v>
      </x:c>
      <x:c r="P36" s="1854" t="str">
        <x:v>dismiss</x:v>
      </x:c>
      <x:c r="Q36" s="1854" t="str">
        <x:v>P3</x:v>
      </x:c>
      <x:c r="R36" s="1856" t="str">
        <x:v>维持当前有效实现；若启用该平台/模型路径，再以PR #57931建立专项回归。</x:v>
      </x:c>
      <x:c r="S36" s="1854" t="str">
        <x:v>静态闭环</x:v>
      </x:c>
      <x:c r="T36" s="1854" t="str">
        <x:v>张新悦</x:v>
      </x:c>
      <x:c r="U36" s="1856" t="str">
        <x:v>分支=main；GraphQL mergedAt=2026-09-21T16:39:32Z；head=178630b5225ac0c9c4d0db7a8df2e0b8fe64244a；files=1</x:v>
      </x:c>
    </x:row>
    <x:row r="37" ht="93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</x:row>
    <x:row r="38" ht="70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</x:row>
    <x:row r="39" ht="70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</x:row>
    <x:row r="40" ht="70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</x:row>
    <x:row r="41" ht="70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</x:row>
    <x:row r="42" ht="70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</x:row>
    <x:row r="43" ht="70" customHeight="1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</x:row>
    <x:row r="44" ht="174" customHeigh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</x:row>
    <x:row r="45" ht="70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</x:row>
    <x:row r="46" ht="70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</x:row>
    <x:row r="47" ht="70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</x:row>
    <x:row r="48" ht="147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</x:row>
    <x:row r="49" ht="79.5" customHeigh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</x:row>
    <x:row r="50" ht="70" customHeight="1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</x:row>
    <x:row r="51" ht="70" customHeigh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</x:row>
    <x:row r="52" ht="70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</x:row>
    <x:row r="53" ht="70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</x:row>
    <x:row r="54" ht="93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</x:row>
    <x:row r="55" ht="79.5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</x:row>
    <x:row r="56" ht="160.5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</x:row>
    <x:row r="57" ht="106.5" customHeigh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</x:row>
    <x:row r="58" ht="70" customHeigh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</x:row>
    <x:row r="59" ht="79.5" customHeigh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</x:row>
    <x:row r="60" ht="120" customHeigh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</x:row>
    <x:row r="61" ht="70" customHeigh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</x:row>
  </x:sheetData>
  <x:mergeCells>
    <x:mergeCell ref="A1:U1"/>
    <x:mergeCell ref="A3:U3"/>
    <x:mergeCell ref="A7:U7"/>
  </x:mergeCells>
  <x:conditionalFormatting sqref="N9:N60">
    <x:cfRule type="containsText" dxfId="5" priority="1" operator="containsText" text="需要适配"/>
    <x:cfRule type="containsText" dxfId="6" priority="2" operator="containsText" text="直接继承修复"/>
    <x:cfRule type="containsText" dxfId="7" priority="3" operator="containsText" text="待确认"/>
    <x:cfRule type="containsText" dxfId="8" priority="4" operator="containsText" text="不受影响"/>
  </x:conditionalFormatting>
  <x:conditionalFormatting sqref="N9:N32">
    <x:cfRule type="containsText" dxfId="36" priority="8" operator="containsText" text="需要适配"/>
    <x:cfRule type="containsText" dxfId="37" priority="9" operator="containsText" text="直接继承修复"/>
    <x:cfRule type="containsText" dxfId="38" priority="10" operator="containsText" text="不受影响"/>
  </x:conditionalFormatting>
  <x:conditionalFormatting sqref="N9:N31">
    <x:cfRule type="containsText" dxfId="46" priority="11" operator="containsText" text="需要适配"/>
    <x:cfRule type="containsText" dxfId="47" priority="12" operator="containsText" text="直接继承修复"/>
    <x:cfRule type="containsText" dxfId="48" priority="13" operator="containsText" text="不受影响"/>
  </x:conditionalFormatting>
  <x:conditionalFormatting sqref="N9:N34">
    <x:cfRule type="containsText" dxfId="56" priority="14" operator="containsText" text="需要适配"/>
    <x:cfRule type="containsText" dxfId="57" priority="15" operator="containsText" text="直接继承修复"/>
    <x:cfRule type="containsText" dxfId="58" priority="16" operator="containsText" text="不受影响"/>
  </x:conditionalFormatting>
  <x:conditionalFormatting sqref="N9:N39">
    <x:cfRule type="containsText" dxfId="86" priority="23" operator="containsText" text="需要适配"/>
    <x:cfRule type="containsText" dxfId="87" priority="24" operator="containsText" text="直接继承修复"/>
    <x:cfRule type="containsText" dxfId="88" priority="25" operator="containsText" text="不受影响"/>
  </x:conditionalFormatting>
  <x:conditionalFormatting sqref="N9:N45">
    <x:cfRule type="containsText" dxfId="96" priority="26" operator="containsText" text="需要适配"/>
    <x:cfRule type="containsText" dxfId="97" priority="27" operator="containsText" text="直接继承修复"/>
    <x:cfRule type="containsText" dxfId="98" priority="28" operator="containsText" text="不受影响"/>
  </x:conditionalFormatting>
  <x:conditionalFormatting sqref="N9:N35">
    <x:cfRule type="containsText" dxfId="106" priority="29" operator="containsText" text="需要适配"/>
    <x:cfRule type="containsText" dxfId="107" priority="30" operator="containsText" text="直接继承修复"/>
    <x:cfRule type="containsText" dxfId="108" priority="31" operator="containsText" text="不受影响"/>
  </x:conditionalFormatting>
  <x:conditionalFormatting sqref="N9:N28">
    <x:cfRule type="containsText" dxfId="116" priority="32" operator="containsText" text="需要适配"/>
    <x:cfRule type="containsText" dxfId="117" priority="33" operator="containsText" text="直接继承修复"/>
    <x:cfRule type="containsText" dxfId="118" priority="34" operator="containsText" text="不受影响"/>
  </x:conditionalFormatting>
  <x:conditionalFormatting sqref="N9:N42">
    <x:cfRule type="containsText" dxfId="126" priority="35" operator="containsText" text="需要适配"/>
    <x:cfRule type="containsText" dxfId="127" priority="36" operator="containsText" text="直接继承修复"/>
    <x:cfRule type="containsText" dxfId="128" priority="37" operator="containsText" text="不受影响"/>
  </x:conditionalFormatting>
  <x:conditionalFormatting sqref="N9:N51">
    <x:cfRule type="containsText" dxfId="136" priority="38" operator="containsText" text="需要适配"/>
    <x:cfRule type="containsText" dxfId="137" priority="39" operator="containsText" text="直接继承修复"/>
    <x:cfRule type="containsText" dxfId="138" priority="40" operator="containsText" text="不受影响"/>
  </x:conditionalFormatting>
  <x:conditionalFormatting sqref="N9:N44">
    <x:cfRule type="containsText" dxfId="146" priority="41" operator="containsText" text="需要适配"/>
    <x:cfRule type="containsText" dxfId="147" priority="42" operator="containsText" text="直接继承修复"/>
    <x:cfRule type="containsText" dxfId="148" priority="43" operator="containsText" text="不受影响"/>
  </x:conditionalFormatting>
  <x:conditionalFormatting sqref="N9:N61">
    <x:cfRule type="containsText" dxfId="156" priority="44" operator="containsText" text="需要适配"/>
    <x:cfRule type="containsText" dxfId="157" priority="45" operator="containsText" text="直接继承修复"/>
    <x:cfRule type="containsText" dxfId="158" priority="46" operator="containsText" text="不受影响"/>
  </x:conditionalFormatting>
  <x:conditionalFormatting sqref="N9:N49">
    <x:cfRule type="containsText" dxfId="166" priority="47" operator="containsText" text="需要适配"/>
    <x:cfRule type="containsText" dxfId="167" priority="48" operator="containsText" text="直接继承修复"/>
    <x:cfRule type="containsText" dxfId="168" priority="49" operator="containsText" text="不受影响"/>
  </x:conditionalFormatting>
  <x:conditionalFormatting sqref="N9:N27">
    <x:cfRule type="containsText" dxfId="176" priority="50" operator="containsText" text="需要适配"/>
    <x:cfRule type="containsText" dxfId="177" priority="51" operator="containsText" text="直接继承修复"/>
    <x:cfRule type="containsText" dxfId="178" priority="52" operator="containsText" text="不受影响"/>
  </x:conditionalFormatting>
  <x:conditionalFormatting sqref="N9:N22">
    <x:cfRule type="containsText" dxfId="186" priority="53" operator="containsText" text="需要适配"/>
    <x:cfRule type="containsText" dxfId="187" priority="54" operator="containsText" text="直接继承修复"/>
    <x:cfRule type="containsText" dxfId="188" priority="55" operator="containsText" text="不受影响"/>
  </x:conditionalFormatting>
  <x:conditionalFormatting sqref="N9:N36">
    <x:cfRule type="containsText" dxfId="196" priority="56" operator="containsText" text="需要适配"/>
    <x:cfRule type="containsText" dxfId="197" priority="57" operator="containsText" text="直接继承修复"/>
    <x:cfRule type="containsText" dxfId="198" priority="58" operator="containsText" text="不受影响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38" hidden="0" customWidth="1"/>
    <x:col min="4" max="4" width="24" hidden="0" customWidth="1"/>
    <x:col min="5" max="5" width="42" hidden="0" customWidth="1"/>
    <x:col min="6" max="6" width="44" hidden="0" customWidth="1"/>
    <x:col min="7" max="7" width="44" hidden="0" customWidth="1"/>
    <x:col min="8" max="8" width="18" hidden="0" customWidth="1"/>
    <x:col min="9" max="9" width="42" hidden="0" customWidth="1"/>
    <x:col min="10" max="10" width="28" hidden="0" customWidth="1"/>
  </x:cols>
  <x:sheetData>
    <x:row r="1" ht="34" customHeight="1">
      <x:c r="A1" s="1911" t="str">
        <x:v>vLLM 区间全部已合入 PR 分析</x:v>
      </x:c>
      <x:c r="B1" s="1911"/>
      <x:c r="C1" s="1911"/>
      <x:c r="D1" s="1911"/>
      <x:c r="E1" s="1911"/>
      <x:c r="F1" s="1911"/>
      <x:c r="G1" s="1911"/>
      <x:c r="H1" s="1911"/>
      <x:c r="I1" s="1911"/>
      <x:c r="J1" s="1911"/>
    </x:row>
    <x:row r="2" ht="42" customHeight="1">
      <x:c r="A2" s="1912" t="str">
        <x:v>时间窗：[2026-09-21 01:02:04.840, 2026-09-22 01:00:58.960) Asia/Hong_Kong；共52条。问题、方案和修改原因基于PR正文、diff与Review证据，按GraphQL mergedAt排序。</x:v>
      </x:c>
      <x:c r="B2" s="1912"/>
      <x:c r="C2" s="1912"/>
      <x:c r="D2" s="1912"/>
      <x:c r="E2" s="1912"/>
      <x:c r="F2" s="1912"/>
      <x:c r="G2" s="1912"/>
      <x:c r="H2" s="1912"/>
      <x:c r="I2" s="1912"/>
      <x:c r="J2" s="1912"/>
    </x:row>
    <x:row r="4" ht="46" customHeight="1">
      <x:c r="A4" s="1913" t="str">
        <x:v>PR</x:v>
      </x:c>
      <x:c r="B4" s="1913" t="str">
        <x:v>合入时间</x:v>
      </x:c>
      <x:c r="C4" s="1913" t="str">
        <x:v>PR标题</x:v>
      </x:c>
      <x:c r="D4" s="1913" t="str">
        <x:v>标签/类型</x:v>
      </x:c>
      <x:c r="E4" s="1913" t="str">
        <x:v>解决什么问题</x:v>
      </x:c>
      <x:c r="F4" s="1913" t="str">
        <x:v>解决方案</x:v>
      </x:c>
      <x:c r="G4" s="1913" t="str">
        <x:v>为什么这么修改</x:v>
      </x:c>
      <x:c r="H4" s="1913" t="str">
        <x:v>是否为Bugfix</x:v>
      </x:c>
      <x:c r="I4" s="1913" t="str">
        <x:v>关键文件</x:v>
      </x:c>
      <x:c r="J4" s="1913" t="str">
        <x:v>PR证据</x:v>
      </x:c>
    </x:row>
    <x:row r="5" ht="79.5" customHeight="1">
      <x:c r="A5" s="1910" t="str">
        <x:v>#57621</x:v>
      </x:c>
      <x:c r="B5" s="1914" t="n">
        <x:v>46286.069027777776</x:v>
      </x:c>
      <x:c r="C5" s="1910" t="str">
        <x:v>[Refactor] Remove dead kernel code</x:v>
      </x:c>
      <x:c r="D5" s="1910" t="str">
        <x:v>rocm; ready; cpu; nvidia</x:v>
      </x:c>
      <x:c r="E5" s="1907" t="str">
        <x:v>已不再调用的CPU/CUDA/ROCm内核辅助代码增加维护负担。</x:v>
      </x:c>
      <x:c r="F5" s="1907" t="str">
        <x:v>删除失效的向量、量化、采样和ROCm内核辅助函数。</x:v>
      </x:c>
      <x:c r="G5" s="1907" t="str">
        <x:v>清理无调用代码，不改变有效算子路径，不将代码量减少记为性能收益。</x:v>
      </x:c>
      <x:c r="H5" s="1910" t="str">
        <x:v>否</x:v>
      </x:c>
      <x:c r="I5" s="1907" t="str">
        <x:v>csrc/cpu/sgl-kernels/common.h; csrc/libtorch_stable/cuda_vec_utils.cuh; csrc/libtorch_stable/moe/moe_wna16_utils.h; csrc/libtorch_stable/quantization/gptq/matrix_view.cuh; csrc/libtorch_stable/quantization/marlin/marlin.cuh</x:v>
      </x:c>
      <x:c r="J5" s="1907" t="str">
        <x:v>https://github.com/vllm-project/vllm/pull/57621</x:v>
      </x:c>
    </x:row>
    <x:row r="6" ht="70" customHeight="1">
      <x:c r="A6" s="1854" t="str">
        <x:v>#57450</x:v>
      </x:c>
      <x:c r="B6" s="1915" t="n">
        <x:v>46286.18101851852</x:v>
      </x:c>
      <x:c r="C6" s="1854" t="str">
        <x:v>[ROCm][CI] Query HIP device memory for test GPU teardown waits.</x:v>
      </x:c>
      <x:c r="D6" s="1854" t="str">
        <x:v>rocm; torch.compile; verified</x:v>
      </x:c>
      <x:c r="E6" s="1856" t="str">
        <x:v>ROCm DPX测试把物理卡显存误当逻辑分区，teardown等待误判。</x:v>
      </x:c>
      <x:c r="F6" s="1856" t="str">
        <x:v>使用HIP逻辑设备内存查询，ROCm余量调至4GiB，清理workspace。</x:v>
      </x:c>
      <x:c r="G6" s="1856" t="str">
        <x:v>分区可见性和资源生命周期必须与实际设备对应。</x:v>
      </x:c>
      <x:c r="H6" s="1854" t="str">
        <x:v>是</x:v>
      </x:c>
      <x:c r="I6" s="1856" t="str">
        <x:v>tests/compile/passes/conftest.py; tests/conftest.py; tests/kernels/moe/conftest.py; tests/utils.py</x:v>
      </x:c>
      <x:c r="J6" s="1856" t="str">
        <x:v>https://github.com/vllm-project/vllm/pull/57450</x:v>
      </x:c>
    </x:row>
    <x:row r="7" ht="120" customHeight="1">
      <x:c r="A7" s="1910" t="str">
        <x:v>#51052</x:v>
      </x:c>
      <x:c r="B7" s="1914" t="n">
        <x:v>46286.22956018519</x:v>
      </x:c>
      <x:c r="C7" s="1910" t="str">
        <x:v>[KVConnector][MoRIIO] Transfer hybrid mamba/KDA recurrent state in READ mode</x:v>
      </x:c>
      <x:c r="D7" s="1910" t="str">
        <x:v>documentation; rocm; ready; kv-connector; kimi; k3; kv-cache-manager</x:v>
      </x:c>
      <x:c r="E7" s="1907" t="str">
        <x:v>MoRIIO READ只传注意力KV，混合Mamba/KDA解码缺少递归状态。</x:v>
      </x:c>
      <x:c r="F7" s="1907" t="str">
        <x:v>分别注册conv/SSM区域，传每组block ID，等待所有READ完成并对不支持配置显式失败。</x:v>
      </x:c>
      <x:c r="G7" s="1907" t="str">
        <x:v>递归状态需要与KV一起传输；仅同TP、READ、无投机范围，不能用单组故障恢复代替。</x:v>
      </x:c>
      <x:c r="H7" s="1910" t="str">
        <x:v>否</x:v>
      </x:c>
      <x:c r="I7" s="1907" t="str">
        <x:v>vllm/distributed/kv_transfer/kv_connector/v1/moriio/moriio_common.py; vllm/distributed/kv_transfer/kv_connector/v1/moriio/moriio_connector.py; vllm/distributed/kv_transfer/kv_connector/v1/moriio/moriio_engine.py; vllm/distributed/kv_transfer/kv_connector/v1/moriio/moriio_layout.py; examples/disaggregated/disaggregated_serving/moriio_toy_proxy_server.py</x:v>
      </x:c>
      <x:c r="J7" s="1907" t="str">
        <x:v>https://github.com/vllm-project/vllm/pull/51052</x:v>
      </x:c>
    </x:row>
    <x:row r="8" ht="70" customHeight="1">
      <x:c r="A8" s="1854" t="str">
        <x:v>#57779</x:v>
      </x:c>
      <x:c r="B8" s="1915" t="n">
        <x:v>46286.28502314815</x:v>
      </x:c>
      <x:c r="C8" s="1854" t="str">
        <x:v>[XPU][UT]Bugfix when the process can't see all the world_size meet accuracy issue.</x:v>
      </x:c>
      <x:c r="D8" s="1854" t="str">
        <x:v>bug; intel-gpu</x:v>
      </x:c>
      <x:c r="E8" s="1856" t="str">
        <x:v>XPU外部LB进程看不全设备时，不均长reduce_scatter导致精度问题。</x:v>
      </x:c>
      <x:c r="F8" s="1856" t="str">
        <x:v>不均长且设备不可全见时填充到统一长度，再reduce_scatter并裁剪。</x:v>
      </x:c>
      <x:c r="G8" s="1856" t="str">
        <x:v>绕过XPU不支持的跨可见设备不均长路径。</x:v>
      </x:c>
      <x:c r="H8" s="1854" t="str">
        <x:v>是</x:v>
      </x:c>
      <x:c r="I8" s="1856" t="str">
        <x:v>vllm/distributed/device_communicators/xpu_communicator.py</x:v>
      </x:c>
      <x:c r="J8" s="1856" t="str">
        <x:v>https://github.com/vllm-project/vllm/pull/57779</x:v>
      </x:c>
    </x:row>
    <x:row r="9" ht="93" customHeight="1">
      <x:c r="A9" s="1910" t="str">
        <x:v>#57603</x:v>
      </x:c>
      <x:c r="B9" s="1914" t="n">
        <x:v>46286.35644675926</x:v>
      </x:c>
      <x:c r="C9" s="1910" t="str">
        <x:v>[Perf][DSV4.1] Overlap mHC coefficients for small TP batches</x:v>
      </x:c>
      <x:c r="D9" s="1910" t="str">
        <x:v>ready; deepseek; DSv4.1</x:v>
      </x:c>
      <x:c r="E9" s="1907" t="str">
        <x:v>DSV4.1小batch的mHC系数计算串行占用前向关键路径。</x:v>
      </x:c>
      <x:c r="F9" s="1907" t="str">
        <x:v>将延迟mHC系数放到旁路流，与attention/FFN重叠，消费前等待。</x:v>
      </x:c>
      <x:c r="G9" s="1907" t="str">
        <x:v>仅小于等于16 tokens及SM100/DeepGEMM等条件获益；同窗#57874进一步限制为FULL捕获。</x:v>
      </x:c>
      <x:c r="H9" s="1910" t="str">
        <x:v>否</x:v>
      </x:c>
      <x:c r="I9" s="1907" t="str">
        <x:v>vllm/model_executor/kernels/mhc/tilelang_kernels.py; vllm/model_executor/kernels/mhc/warmup.py; vllm/models/deepseek_v41/nvidia/model.py; vllm/models/deepseek_v41/nvidia/ops/mega_mhc.py; vllm/models/deepseek_v41/nvidia/ops/mhc.py</x:v>
      </x:c>
      <x:c r="J9" s="1907" t="str">
        <x:v>https://github.com/vllm-project/vllm/pull/57603</x:v>
      </x:c>
    </x:row>
    <x:row r="10" ht="93" customHeight="1">
      <x:c r="A10" s="1854" t="str">
        <x:v>#56734</x:v>
      </x:c>
      <x:c r="B10" s="1915" t="n">
        <x:v>46286.37945601852</x:v>
      </x:c>
      <x:c r="C10" s="1854" t="str">
        <x:v>[Bugfix][Spec Decode] Stop dummy draft decode steps from writing KV through stale block-table rows</x:v>
      </x:c>
      <x:c r="D10" s="1854" t="str">
        <x:v>bug; speculative-decoding; ready; mrv2</x:v>
      </x:c>
      <x:c r="E10" s="1856" t="str">
        <x:v>MRV2投机dummy批读持久块表旧行，写坏草稿KV及prefix缓存。</x:v>
      </x:c>
      <x:c r="F10" s="1856" t="str">
        <x:v>dummy请求idx_mapping置-1；slot内核对负行禁止读块表并输出PAD。</x:v>
      </x:c>
      <x:c r="G10" s="1856" t="str">
        <x:v>只清理临时读表不能阻断图内后续draft写入，必须同时保护生产者和内核消费者。</x:v>
      </x:c>
      <x:c r="H10" s="1854" t="str">
        <x:v>是</x:v>
      </x:c>
      <x:c r="I10" s="1856" t="str">
        <x:v>vllm/v1/worker/gpu/block_table.py; vllm/v1/worker/gpu/spec_decode/autoregressive/speculator.py; vllm/v1/worker/gpu/spec_decode/multi_module_mtp/speculator.py; vllm/v1/worker/gpu/spec_decode/speculator.py; tests/v1/worker/test_gpu_block_table.py</x:v>
      </x:c>
      <x:c r="J10" s="1856" t="str">
        <x:v>https://github.com/vllm-project/vllm/pull/56734</x:v>
      </x:c>
    </x:row>
    <x:row r="11" ht="70" customHeight="1">
      <x:c r="A11" s="1910" t="str">
        <x:v>#57742</x:v>
      </x:c>
      <x:c r="B11" s="1914" t="n">
        <x:v>46286.38543981482</x:v>
      </x:c>
      <x:c r="C11" s="1910" t="str">
        <x:v>[Docs] Add ECMooncakeConnector usage example for EPD</x:v>
      </x:c>
      <x:c r="D11" s="1910" t="str">
        <x:v>documentation; ready</x:v>
      </x:c>
      <x:c r="E11" s="1907" t="str">
        <x:v>EPD文档缺少已有ECMooncakeConnector的可运行示例。</x:v>
      </x:c>
      <x:c r="F11" s="1907" t="str">
        <x:v>补充1E+1PD脚本、模型与TCP/RDMA参数说明。</x:v>
      </x:c>
      <x:c r="G11" s="1907" t="str">
        <x:v>仅完善文档，不新增连接器或性能实现。</x:v>
      </x:c>
      <x:c r="H11" s="1910" t="str">
        <x:v>否</x:v>
      </x:c>
      <x:c r="I11" s="1907" t="str">
        <x:v>docs/features/disagg_encoder.md</x:v>
      </x:c>
      <x:c r="J11" s="1907" t="str">
        <x:v>https://github.com/vllm-project/vllm/pull/57742</x:v>
      </x:c>
    </x:row>
    <x:row r="12" ht="70" customHeight="1">
      <x:c r="A12" s="1854" t="str">
        <x:v>#54581</x:v>
      </x:c>
      <x:c r="B12" s="1915" t="n">
        <x:v>46286.392384259256</x:v>
      </x:c>
      <x:c r="C12" s="1854" t="str">
        <x:v>[Bugfix][KV Connector] Propagate cache reset failure during sleep</x:v>
      </x:c>
      <x:c r="D12" s="1854" t="str">
        <x:v>bug; ready</x:v>
      </x:c>
      <x:c r="E12" s="1856" t="str">
        <x:v>sleep/pause忽略KV连接器缓存重置失败，延迟Future也无法正确传递异常。</x:v>
      </x:c>
      <x:c r="F12" s="1856" t="str">
        <x:v>检查reset返回值，在清MM/encoder和sleep之前失败；回调通过set_exception传异常。</x:v>
      </x:c>
      <x:c r="G12" s="1856" t="str">
        <x:v>避免对未清除的远端状态报告成功，也避免等待Future挂起。</x:v>
      </x:c>
      <x:c r="H12" s="1854" t="str">
        <x:v>是</x:v>
      </x:c>
      <x:c r="I12" s="1856" t="str">
        <x:v>vllm/v1/engine/core.py</x:v>
      </x:c>
      <x:c r="J12" s="1856" t="str">
        <x:v>https://github.com/vllm-project/vllm/pull/54581</x:v>
      </x:c>
    </x:row>
    <x:row r="13" ht="70" customHeight="1">
      <x:c r="A13" s="1910" t="str">
        <x:v>#57314</x:v>
      </x:c>
      <x:c r="B13" s="1914" t="n">
        <x:v>46286.404814814814</x:v>
      </x:c>
      <x:c r="C13" s="1910" t="str">
        <x:v>[Doc] Refresh Kthena integration guide</x:v>
      </x:c>
      <x:c r="D13" s="1910" t="str">
        <x:v>documentation; ready; verified</x:v>
      </x:c>
      <x:c r="E13" s="1907" t="str">
        <x:v>Kthena旧角色名以数字开头被v1 webhook拒绝，示例还缺Service步骤。</x:v>
      </x:c>
      <x:c r="F13" s="1907" t="str">
        <x:v>更新版本、角色及gang/pod命名，补齐安装、Service和清理。</x:v>
      </x:c>
      <x:c r="G13" s="1907" t="str">
        <x:v>使部署示例符合v1约束；纯文档，不作为生产Bugfix台账项。</x:v>
      </x:c>
      <x:c r="H13" s="1910" t="str">
        <x:v>否</x:v>
      </x:c>
      <x:c r="I13" s="1907" t="str">
        <x:v>docs/deployment/integrations/kthena.md</x:v>
      </x:c>
      <x:c r="J13" s="1907" t="str">
        <x:v>https://github.com/vllm-project/vllm/pull/57314</x:v>
      </x:c>
    </x:row>
    <x:row r="14" ht="70" customHeight="1">
      <x:c r="A14" s="1854" t="str">
        <x:v>#57491</x:v>
      </x:c>
      <x:c r="B14" s="1915" t="n">
        <x:v>46286.428611111114</x:v>
      </x:c>
      <x:c r="C14" s="1854" t="str">
        <x:v>[ROCm][DSv4.1] Keep the Engram tables in host memory on ROCm</x:v>
      </x:c>
      <x:c r="D14" s="1854" t="str">
        <x:v>rocm; ready; deepseek; DSv4.1</x:v>
      </x:c>
      <x:c r="E14" s="1856" t="str">
        <x:v>ROCm的CUDA专用开关阻止Engram host offload，表占用大量显存。</x:v>
      </x:c>
      <x:c r="F14" s="1856" t="str">
        <x:v>将门禁扩为is_cuda_alike并在AMD模型复用Engram host实现。</x:v>
      </x:c>
      <x:c r="G14" s="1856" t="str">
        <x:v>HIP已有host映射能力；主要提升KV容量，吞吐实测基本持平。</x:v>
      </x:c>
      <x:c r="H14" s="1854" t="str">
        <x:v>否</x:v>
      </x:c>
      <x:c r="I14" s="1856" t="str">
        <x:v>vllm/config/engram.py; vllm/config/vllm.py; vllm/models/deepseek_v41/amd/model.py; tests/kernels/test_engram.py; tests/test_config.py</x:v>
      </x:c>
      <x:c r="J14" s="1856" t="str">
        <x:v>https://github.com/vllm-project/vllm/pull/57491</x:v>
      </x:c>
    </x:row>
    <x:row r="15" ht="70" customHeight="1">
      <x:c r="A15" s="1910" t="str">
        <x:v>#57460</x:v>
      </x:c>
      <x:c r="B15" s="1914" t="n">
        <x:v>46286.42875</x:v>
      </x:c>
      <x:c r="C15" s="1910" t="str">
        <x:v>[Profiler] Unify platform-aware torch profiling</x:v>
      </x:c>
      <x:c r="D15" s="1910" t="str">
        <x:v>documentation; intel-gpu; ready; cpu</x:v>
      </x:c>
      <x:c r="E15" s="1907" t="str">
        <x:v>torch profiler对象一次性复用导致多轮采集失效，各平台配置与注解行为不一致。</x:v>
      </x:c>
      <x:c r="F15" s="1907" t="str">
        <x:v>每轮新建torch profiler，统一worker工厂/活动校验，仅记录CPU活动时生成注解。</x:v>
      </x:c>
      <x:c r="G15" s="1907" t="str">
        <x:v>将生命周期、平台能力与注解成本分开；NPU自有wrapper不自动得到所有改动。</x:v>
      </x:c>
      <x:c r="H15" s="1910" t="str">
        <x:v>是</x:v>
      </x:c>
      <x:c r="I15" s="1907" t="str">
        <x:v>vllm/config/profiler.py; vllm/profiler/wrapper.py; vllm/v1/engine/async_llm.py; vllm/v1/worker/cpu_worker.py; vllm/v1/worker/gpu_worker.py</x:v>
      </x:c>
      <x:c r="J15" s="1907" t="str">
        <x:v>https://github.com/vllm-project/vllm/pull/57460</x:v>
      </x:c>
    </x:row>
    <x:row r="16" ht="70" customHeight="1">
      <x:c r="A16" s="1854" t="str">
        <x:v>#57811</x:v>
      </x:c>
      <x:c r="B16" s="1915" t="n">
        <x:v>46286.45777777778</x:v>
      </x:c>
      <x:c r="C16" s="1854" t="str">
        <x:v>[BUGFIX][HY4]  Record indexer completion event for full CUDA graph capture</x:v>
      </x:c>
      <x:c r="D16" s="1854" t="str">
        <x:v>bug; ready; nvidia</x:v>
      </x:c>
      <x:c r="E16" s="1856" t="str">
        <x:v>HY4稀疏indexer完成事件未记录，FULL图捕获缺少依赖。</x:v>
      </x:c>
      <x:c r="F16" s="1856" t="str">
        <x:v>在稀疏分支调用record_logical_topk_ready。</x:v>
      </x:c>
      <x:c r="G16" s="1856" t="str">
        <x:v>消费attention前明确标记逻辑top-k就绪。</x:v>
      </x:c>
      <x:c r="H16" s="1854" t="str">
        <x:v>是</x:v>
      </x:c>
      <x:c r="I16" s="1856" t="str">
        <x:v>vllm/models/hy_v4/nvidia/attention.py</x:v>
      </x:c>
      <x:c r="J16" s="1856" t="str">
        <x:v>https://github.com/vllm-project/vllm/pull/57811</x:v>
      </x:c>
    </x:row>
    <x:row r="17" ht="70" customHeight="1">
      <x:c r="A17" s="1910" t="str">
        <x:v>#57554</x:v>
      </x:c>
      <x:c r="B17" s="1914" t="n">
        <x:v>46286.46806712963</x:v>
      </x:c>
      <x:c r="C17" s="1910" t="str">
        <x:v>[Build] Fix DeepGEMM CUDA 12.9 release builds</x:v>
      </x:c>
      <x:c r="D17" s="1910" t="str">
        <x:v>ready; ci/build; nvidia</x:v>
      </x:c>
      <x:c r="E17" s="1907" t="str">
        <x:v>DeepGEMM头文件缺少显式CUDA FP8 include，使CUDA12.9发布构建失败。</x:v>
      </x:c>
      <x:c r="F17" s="1907" t="str">
        <x:v>同步两处依赖SHA至包含五行include修复的DeepGEMM提交。</x:v>
      </x:c>
      <x:c r="G17" s="1907" t="str">
        <x:v>CUDA13间接include掩盖问题；修复构建声明，不改变算子数学。</x:v>
      </x:c>
      <x:c r="H17" s="1910" t="str">
        <x:v>是</x:v>
      </x:c>
      <x:c r="I17" s="1907" t="str">
        <x:v>cmake/external_projects/deepgemm.cmake; tools/install_deepgemm.sh</x:v>
      </x:c>
      <x:c r="J17" s="1907" t="str">
        <x:v>https://github.com/vllm-project/vllm/pull/57554</x:v>
      </x:c>
    </x:row>
    <x:row r="18" ht="79.5" customHeight="1">
      <x:c r="A18" s="1854" t="str">
        <x:v>#57643</x:v>
      </x:c>
      <x:c r="B18" s="1915" t="n">
        <x:v>46286.477858796294</x:v>
      </x:c>
      <x:c r="C18" s="1854" t="str">
        <x:v>[Perf][DSV4.1] Fuse TP all-reduce with mHC input preparation</x:v>
      </x:c>
      <x:c r="D18" s="1854" t="str">
        <x:v>ready; ci/build; deepseek; nvidia; DSv4; DSv4.1</x:v>
      </x:c>
      <x:c r="E18" s="1856" t="str">
        <x:v>TP all-reduce后mHC混合、collapse和RMSNorm分开启动，重复同步和搬运。</x:v>
      </x:c>
      <x:c r="F18" s="1856" t="str">
        <x:v>SM100 TP4小batch将collective与mHC输入准备融合，复用MNNVL工作区。</x:v>
      </x:c>
      <x:c r="G18" s="1856" t="str">
        <x:v>减少三个launch为一个；NVLink multicast、固定维度和16-token门禁不可外推NPU。</x:v>
      </x:c>
      <x:c r="H18" s="1854" t="str">
        <x:v>否</x:v>
      </x:c>
      <x:c r="I18" s="1856" t="str">
        <x:v>csrc/libtorch_stable/all_reduce_mhc.cu; vllm/models/deepseek_v4/nvidia/model.py; vllm/models/deepseek_v41/nvidia/model.py; vllm/models/deepseek_v41/nvidia/ops/mega_mhc.py; vllm/models/deepseek_v41/nvidia/ops/mhc.py</x:v>
      </x:c>
      <x:c r="J18" s="1856" t="str">
        <x:v>https://github.com/vllm-project/vllm/pull/57643</x:v>
      </x:c>
    </x:row>
    <x:row r="19" ht="70" customHeight="1">
      <x:c r="A19" s="1910" t="str">
        <x:v>#57589</x:v>
      </x:c>
      <x:c r="B19" s="1914" t="n">
        <x:v>46286.50376157407</x:v>
      </x:c>
      <x:c r="C19" s="1910" t="str">
        <x:v>[Bugfix] DiffusionGemma: fix multimodal support</x:v>
      </x:c>
      <x:c r="D19" s="1910" t="str">
        <x:v>bug; ready</x:v>
      </x:c>
      <x:c r="E19" s="1907" t="str">
        <x:v>DiffusionGemma复用Gemma4图像方法但未初始化_enable_mm_lora，图像请求崩溃。</x:v>
      </x:c>
      <x:c r="F19" s="1907" t="str">
        <x:v>构造时按LoRA配置设置该标志。</x:v>
      </x:c>
      <x:c r="G19" s="1907" t="str">
        <x:v>复用方法依赖的实例字段必须由当前类提供。</x:v>
      </x:c>
      <x:c r="H19" s="1910" t="str">
        <x:v>是</x:v>
      </x:c>
      <x:c r="I19" s="1907" t="str">
        <x:v>vllm/model_executor/models/diffusion_gemma.py</x:v>
      </x:c>
      <x:c r="J19" s="1907" t="str">
        <x:v>https://github.com/vllm-project/vllm/pull/57589</x:v>
      </x:c>
    </x:row>
    <x:row r="20" ht="79.5" customHeight="1">
      <x:c r="A20" s="1854" t="str">
        <x:v>#57783</x:v>
      </x:c>
      <x:c r="B20" s="1915" t="n">
        <x:v>46286.53208333333</x:v>
      </x:c>
      <x:c r="C20" s="1854" t="str">
        <x:v>[Core][KDA] Generalize Mamba prefill checkpoint builder and exporter</x:v>
      </x:c>
      <x:c r="D20" s="1854" t="str">
        <x:v>ready; kimi; k3</x:v>
      </x:c>
      <x:c r="E20" s="1856" t="str">
        <x:v>KDA内嵌的prefill checkpoint逻辑不便与其他Mamba后端共享。</x:v>
      </x:c>
      <x:c r="F20" s="1856" t="str">
        <x:v>抽取通用位置/元数据builder及抽象exporter，FlashKDA另实现状态导出。</x:v>
      </x:c>
      <x:c r="G20" s="1856" t="str">
        <x:v>统一调度对齐和状态写入契约；本次是职责抽取，没有性能A/B。</x:v>
      </x:c>
      <x:c r="H20" s="1854" t="str">
        <x:v>否</x:v>
      </x:c>
      <x:c r="I20" s="1856" t="str">
        <x:v>vllm/model_executor/layers/mamba/checkpoint.py; vllm/model_executor/layers/mamba/kda_checkpoint.py; vllm/models/kimi_k3/nvidia/kda.py; vllm/models/kimi_k3/nvidia/kda_metadata.py; tests/models/kimi_k3/test_kda.py</x:v>
      </x:c>
      <x:c r="J20" s="1856" t="str">
        <x:v>https://github.com/vllm-project/vllm/pull/57783</x:v>
      </x:c>
    </x:row>
    <x:row r="21" ht="70" customHeight="1">
      <x:c r="A21" s="1910" t="str">
        <x:v>#57855</x:v>
      </x:c>
      <x:c r="B21" s="1914" t="n">
        <x:v>46286.55243055556</x:v>
      </x:c>
      <x:c r="C21" s="1910" t="str">
        <x:v>[XPU][CI] fallback to 7-args of moe_align_block_size</x:v>
      </x:c>
      <x:c r="D21" s="1910" t="str">
        <x:v>intel-gpu</x:v>
      </x:c>
      <x:c r="E21" s="1907" t="str">
        <x:v>XPU moe_align_block_size仍是7参接口，新增scatter_idx调用不兼容。</x:v>
      </x:c>
      <x:c r="F21" s="1907" t="str">
        <x:v>XPU走7参调用，显式拒绝scatter_idx。</x:v>
      </x:c>
      <x:c r="G21" s="1907" t="str">
        <x:v>不能返回未初始化输出伪装支持。</x:v>
      </x:c>
      <x:c r="H21" s="1910" t="str">
        <x:v>是</x:v>
      </x:c>
      <x:c r="I21" s="1907" t="str">
        <x:v>vllm/_custom_ops.py</x:v>
      </x:c>
      <x:c r="J21" s="1907" t="str">
        <x:v>https://github.com/vllm-project/vllm/pull/57855</x:v>
      </x:c>
    </x:row>
    <x:row r="22" ht="70" customHeight="1">
      <x:c r="A22" s="1854" t="str">
        <x:v>#57864</x:v>
      </x:c>
      <x:c r="B22" s="1915" t="n">
        <x:v>46286.556666666664</x:v>
      </x:c>
      <x:c r="C22" s="1854" t="str">
        <x:v>[ROCm][Tests] Avoid pooling cleanup waits against live shared engines</x:v>
      </x:c>
      <x:c r="D22" s="1854" t="str">
        <x:v>rocm; ready; multi-modality</x:v>
      </x:c>
      <x:c r="E22" s="1856" t="str">
        <x:v>pooling函数级清理在模块级引擎仍存活时等待显存清空，每例多等240秒。</x:v>
      </x:c>
      <x:c r="F22" s="1856" t="str">
        <x:v>ROCm跳过该错误生命周期下的等待，保留GC、cache清理与runner退出等待。</x:v>
      </x:c>
      <x:c r="G22" s="1856" t="str">
        <x:v>只有资源拥有者退出才能要求显存释放。</x:v>
      </x:c>
      <x:c r="H22" s="1854" t="str">
        <x:v>是</x:v>
      </x:c>
      <x:c r="I22" s="1856" t="str">
        <x:v>tests/models/language/pooling/conftest.py; tests/models/language/pooling_mteb_test/conftest.py; tests/models/multimodal/pooling/conftest.py</x:v>
      </x:c>
      <x:c r="J22" s="1856" t="str">
        <x:v>https://github.com/vllm-project/vllm/pull/57864</x:v>
      </x:c>
    </x:row>
    <x:row r="23" ht="70" customHeight="1">
      <x:c r="A23" s="1910" t="str">
        <x:v>#57277</x:v>
      </x:c>
      <x:c r="B23" s="1914" t="n">
        <x:v>46286.55880787037</x:v>
      </x:c>
      <x:c r="C23" s="1910" t="str">
        <x:v>[MRV2][XPU] use xpu sample kernel in mrv2 sampler</x:v>
      </x:c>
      <x:c r="D23" s="1910" t="str">
        <x:v>intel-gpu; mrv2</x:v>
      </x:c>
      <x:c r="E23" s="1907" t="str">
        <x:v>MRV2在XPU未使用融合top-k/top-p采样，排序和概率张量开销大。</x:v>
      </x:c>
      <x:c r="F23" s="1907" t="str">
        <x:v>抽出xpu_sample，MRV2按平台、seed、greedy、logprob等条件分派。</x:v>
      </x:c>
      <x:c r="G23" s="1907" t="str">
        <x:v>融合随机采样减少排序/中间概率；不支持逐请求seed等情况必须回退。</x:v>
      </x:c>
      <x:c r="H23" s="1910" t="str">
        <x:v>否</x:v>
      </x:c>
      <x:c r="I23" s="1907" t="str">
        <x:v>vllm/v1/sample/ops/topk_topp_sampler.py; vllm/v1/watermarking/gpu_sampler.py; vllm/v1/worker/gpu/sample/sampler.py</x:v>
      </x:c>
      <x:c r="J23" s="1907" t="str">
        <x:v>https://github.com/vllm-project/vllm/pull/57277</x:v>
      </x:c>
    </x:row>
    <x:row r="24" ht="70" customHeight="1">
      <x:c r="A24" s="1854" t="str">
        <x:v>#57868</x:v>
      </x:c>
      <x:c r="B24" s="1915" t="n">
        <x:v>46286.560752314814</x:v>
      </x:c>
      <x:c r="C24" s="1854" t="str">
        <x:v>[Tests] Release HF embedding weights after prompt extraction</x:v>
      </x:c>
      <x:c r="D24" s="1854" t="str">
        <x:v>ready</x:v>
      </x:c>
      <x:c r="E24" s="1856" t="str">
        <x:v>测试提取prompt embedding时构建autograd图，HF退出后仍保留权重。</x:v>
      </x:c>
      <x:c r="F24" s="1856" t="str">
        <x:v>embedding查表置于torch.no_grad，保留MiniCPM缩放及原值。</x:v>
      </x:c>
      <x:c r="G24" s="1856" t="str">
        <x:v>在张量生产处切断无用梯度引用，既修生命周期又减少显存占用。</x:v>
      </x:c>
      <x:c r="H24" s="1854" t="str">
        <x:v>是</x:v>
      </x:c>
      <x:c r="I24" s="1856" t="str">
        <x:v>tests/models/language/generation/test_common.py</x:v>
      </x:c>
      <x:c r="J24" s="1856" t="str">
        <x:v>https://github.com/vllm-project/vllm/pull/57868</x:v>
      </x:c>
    </x:row>
    <x:row r="25" ht="70" customHeight="1">
      <x:c r="A25" s="1910" t="str">
        <x:v>#57769</x:v>
      </x:c>
      <x:c r="B25" s="1914" t="n">
        <x:v>46286.572696759256</x:v>
      </x:c>
      <x:c r="C25" s="1910" t="str">
        <x:v>[Bugfix] Fix Whisper engine crash on audio clips longer than 30s</x:v>
      </x:c>
      <x:c r="D25" s="1910" t="str">
        <x:v>bug; ready; multi-modality</x:v>
      </x:c>
      <x:c r="E25" s="1907" t="str">
        <x:v>Whisper离线超过30秒音频受truncation=False影响，特征长度超出位置编码导致engine崩溃。</x:v>
      </x:c>
      <x:c r="F25" s="1907" t="str">
        <x:v>Whisper处理器调用HF时显式truncation=True。</x:v>
      </x:c>
      <x:c r="G25" s="1907" t="str">
        <x:v>恢复HF音频窗口行为；HTTP音频端点已分块，不应混为同一触发场景。</x:v>
      </x:c>
      <x:c r="H25" s="1910" t="str">
        <x:v>是</x:v>
      </x:c>
      <x:c r="I25" s="1907" t="str">
        <x:v>vllm/model_executor/models/whisper.py; tests/models/multimodal/processing/test_whisper.py</x:v>
      </x:c>
      <x:c r="J25" s="1907" t="str">
        <x:v>https://github.com/vllm-project/vllm/pull/57769</x:v>
      </x:c>
    </x:row>
    <x:row r="26" ht="70" customHeight="1">
      <x:c r="A26" s="1854" t="str">
        <x:v>#53758</x:v>
      </x:c>
      <x:c r="B26" s="1915" t="n">
        <x:v>46286.60902777778</x:v>
      </x:c>
      <x:c r="C26" s="1854" t="str">
        <x:v>[Bugfix][Model] Mistral3: align placeholder grid with public processor</x:v>
      </x:c>
      <x:c r="D26" s="1854" t="str">
        <x:v>bug; ready; multi-modality; mistral</x:v>
      </x:c>
      <x:c r="E26" s="1856" t="str">
        <x:v>Mistral3占位token按14像素patch计算，未匹配公共processor的合并28像素步长。</x:v>
      </x:c>
      <x:c r="F26" s="1856" t="str">
        <x:v>用patch_size×spatial_merge_size向上取整计算网格。</x:v>
      </x:c>
      <x:c r="G26" s="1856" t="str">
        <x:v>按公共AutoProcessor而非底层image_processor验证，覆盖非对齐尺寸。</x:v>
      </x:c>
      <x:c r="H26" s="1854" t="str">
        <x:v>是</x:v>
      </x:c>
      <x:c r="I26" s="1856" t="str">
        <x:v>vllm/model_executor/models/mistral3.py; tests/models/multimodal/processing/test_mistral3.py</x:v>
      </x:c>
      <x:c r="J26" s="1856" t="str">
        <x:v>https://github.com/vllm-project/vllm/pull/53758</x:v>
      </x:c>
    </x:row>
    <x:row r="27" ht="70" customHeight="1">
      <x:c r="A27" s="1910" t="str">
        <x:v>#48416</x:v>
      </x:c>
      <x:c r="B27" s="1914" t="n">
        <x:v>46286.62453703704</x:v>
      </x:c>
      <x:c r="C27" s="1910" t="str">
        <x:v>[Bugfix] Fix xgrammar feature gate bypass when JSON Schema type is a list</x:v>
      </x:c>
      <x:c r="D27" s="1910" t="str">
        <x:v>bug; structured-output; ready; v1</x:v>
      </x:c>
      <x:c r="E27" s="1907" t="str">
        <x:v>JSON Schema的type为列表时绕过xgrammar不支持特性检查。</x:v>
      </x:c>
      <x:c r="F27" s="1907" t="str">
        <x:v>统一标量/list为类型集合，再执行数字、字符串、数组、对象规则。</x:v>
      </x:c>
      <x:c r="G27" s="1907" t="str">
        <x:v>auto应对不支持约束回退；缺省type遍历问题#57550不在本次修复范围。</x:v>
      </x:c>
      <x:c r="H27" s="1910" t="str">
        <x:v>是</x:v>
      </x:c>
      <x:c r="I27" s="1907" t="str">
        <x:v>vllm/v1/structured_output/backend_xgrammar.py; tests/v1/structured_output/test_utils.py; tests/v1/structured_output/test_validation.py</x:v>
      </x:c>
      <x:c r="J27" s="1907" t="str">
        <x:v>https://github.com/vllm-project/vllm/pull/48416</x:v>
      </x:c>
    </x:row>
    <x:row r="28" ht="70" customHeight="1">
      <x:c r="A28" s="1854" t="str">
        <x:v>#57885</x:v>
      </x:c>
      <x:c r="B28" s="1915" t="n">
        <x:v>46286.631064814814</x:v>
      </x:c>
      <x:c r="C28" s="1854" t="str">
        <x:v>[Perf][Attention] Avoid redundant sparse attention metadata operations</x:v>
      </x:c>
      <x:c r="D28" s="1854" t="str"/>
      <x:c r="E28" s="1856" t="str">
        <x:v>每步稀疏attention元数据多做validity临时复制及decode无用整数除法。</x:v>
      </x:c>
      <x:c r="F28" s="1856" t="str">
        <x:v>torch.ge直接写持久buffer，压缩长度仅prefill时计算。</x:v>
      </x:c>
      <x:c r="G28" s="1856" t="str">
        <x:v>移除冗余设备操作；上游端到端TPOT基本持平，不夸大收益。</x:v>
      </x:c>
      <x:c r="H28" s="1854" t="str">
        <x:v>否</x:v>
      </x:c>
      <x:c r="I28" s="1856" t="str">
        <x:v>vllm/v1/attention/backends/mla/indexer.py; vllm/v1/attention/backends/mla/sparse_swa.py</x:v>
      </x:c>
      <x:c r="J28" s="1856" t="str">
        <x:v>https://github.com/vllm-project/vllm/pull/57885</x:v>
      </x:c>
    </x:row>
    <x:row r="29" ht="70" customHeight="1">
      <x:c r="A29" s="1910" t="str">
        <x:v>#57874</x:v>
      </x:c>
      <x:c r="B29" s="1914" t="n">
        <x:v>46286.67847222222</x:v>
      </x:c>
      <x:c r="C29" s="1910" t="str">
        <x:v>[Bugfix][DSV4.1] Restrict mHC overlap to full CUDA graphs</x:v>
      </x:c>
      <x:c r="D29" s="1910" t="str">
        <x:v>bug; ready; deepseek; nvidia; mrv2; DSv4.1</x:v>
      </x:c>
      <x:c r="E29" s="1907" t="str">
        <x:v>小batch eager走overlap而PIECEWISE走Mega mHC，流本地barrier未预热导致启动失败。</x:v>
      </x:c>
      <x:c r="F29" s="1907" t="str">
        <x:v>overlap只在真实FULL捕获中开启，eager/PIECEWISE使用原生路径。</x:v>
      </x:c>
      <x:c r="G29" s="1907" t="str">
        <x:v>让warmup与实际capture路径一致；本PR修正同窗#57603的适用边界。</x:v>
      </x:c>
      <x:c r="H29" s="1910" t="str">
        <x:v>是</x:v>
      </x:c>
      <x:c r="I29" s="1907" t="str">
        <x:v>vllm/models/deepseek_v41/nvidia/model.py; vllm/models/deepseek_v41/nvidia/ops/mega_mhc.py; vllm/models/deepseek_v41/nvidia/ops/mhc.py; tests/kernels/test_mhc_kernels.py</x:v>
      </x:c>
      <x:c r="J29" s="1907" t="str">
        <x:v>https://github.com/vllm-project/vllm/pull/57874</x:v>
      </x:c>
    </x:row>
    <x:row r="30" ht="70" customHeight="1">
      <x:c r="A30" s="1854" t="str">
        <x:v>#57526</x:v>
      </x:c>
      <x:c r="B30" s="1915" t="n">
        <x:v>46286.68106481482</x:v>
      </x:c>
      <x:c r="C30" s="1854" t="str">
        <x:v>[Perf][ROCm] Add a ROCm path for Hy4 and compile the backbone</x:v>
      </x:c>
      <x:c r="D30" s="1854" t="str">
        <x:v>rocm; ready</x:v>
      </x:c>
      <x:c r="E30" s="1856" t="str">
        <x:v>HY4 ROCm没有独立可compile骨干，图模式退化eager或捕获失败。</x:v>
      </x:c>
      <x:c r="F30" s="1856" t="str">
        <x:v>新增AMD模型并标记support_torch_compile，保留NVIDIA和draft路径。</x:v>
      </x:c>
      <x:c r="G30" s="1856" t="str">
        <x:v>恢复图捕获；新backend能力与图回退缺陷分别跟踪。</x:v>
      </x:c>
      <x:c r="H30" s="1854" t="str">
        <x:v>是</x:v>
      </x:c>
      <x:c r="I30" s="1856" t="str">
        <x:v>vllm/models/hy_v4/__init__.py; vllm/models/hy_v4/amd/__init__.py; vllm/models/hy_v4/amd/model.py; tests/models/test_hyv4_rocm.py</x:v>
      </x:c>
      <x:c r="J30" s="1856" t="str">
        <x:v>https://github.com/vllm-project/vllm/pull/57526</x:v>
      </x:c>
    </x:row>
    <x:row r="31" ht="70" customHeight="1">
      <x:c r="A31" s="1910" t="str">
        <x:v>#57651</x:v>
      </x:c>
      <x:c r="B31" s="1914" t="n">
        <x:v>46286.68537037037</x:v>
      </x:c>
      <x:c r="C31" s="1910" t="str">
        <x:v>[Model][Engram] Share host tables across co-located DP replicas by default</x:v>
      </x:c>
      <x:c r="D31" s="1910" t="str">
        <x:v>ready; needs-rebase; deepseek; DSv4.1</x:v>
      </x:c>
      <x:c r="E31" s="1907" t="str">
        <x:v>同节点DP Engram共享需手动启用，条件不足时直接失败。</x:v>
      </x:c>
      <x:c r="F31" s="1907" t="str">
        <x:v>dp_shared_memory改为自动解析，按节点与/dev/shm容量回退head sharding，移除无必要load_format限制。</x:v>
      </x:c>
      <x:c r="G31" s="1907" t="str">
        <x:v>减少重复host表并使默认配置可运行；Ascend节点分片方案不同。</x:v>
      </x:c>
      <x:c r="H31" s="1910" t="str">
        <x:v>否</x:v>
      </x:c>
      <x:c r="I31" s="1907" t="str">
        <x:v>vllm/config/engram.py; vllm/config/vllm.py; vllm/models/deepseek_v41/nvidia/engram.py; vllm/models/deepseek_v41/nvidia/model.py; tests/distributed/test_engram_dp_shard.py</x:v>
      </x:c>
      <x:c r="J31" s="1907" t="str">
        <x:v>https://github.com/vllm-project/vllm/pull/57651</x:v>
      </x:c>
    </x:row>
    <x:row r="32" ht="70" customHeight="1">
      <x:c r="A32" s="1854" t="str">
        <x:v>#57870</x:v>
      </x:c>
      <x:c r="B32" s="1915" t="n">
        <x:v>46286.686840277776</x:v>
      </x:c>
      <x:c r="C32" s="1854" t="str">
        <x:v>[CI][ROCm] Make Python-only installation failures blocking</x:v>
      </x:c>
      <x:c r="D32" s="1854" t="str">
        <x:v>rocm; ready; ci/build</x:v>
      </x:c>
      <x:c r="E32" s="1856" t="str">
        <x:v>AMD Python-only安装失败被soft_fail掩盖，CI仍通过。</x:v>
      </x:c>
      <x:c r="F32" s="1856" t="str">
        <x:v>移除soft_fail覆盖，继承硬失败策略。</x:v>
      </x:c>
      <x:c r="G32" s="1856" t="str">
        <x:v>安装是后续测试前提，失败必须阻断。</x:v>
      </x:c>
      <x:c r="H32" s="1854" t="str">
        <x:v>是</x:v>
      </x:c>
      <x:c r="I32" s="1856" t="str">
        <x:v>.buildkite/test_areas/misc.yaml</x:v>
      </x:c>
      <x:c r="J32" s="1856" t="str">
        <x:v>https://github.com/vllm-project/vllm/pull/57870</x:v>
      </x:c>
    </x:row>
    <x:row r="33" ht="70" customHeight="1">
      <x:c r="A33" s="1910" t="str">
        <x:v>#54535</x:v>
      </x:c>
      <x:c r="B33" s="1914" t="n">
        <x:v>46286.69341435185</x:v>
      </x:c>
      <x:c r="C33" s="1910" t="str">
        <x:v>[AMD][Minimax-M3][perf] Enable packed LBHNC AITER QK-norm fusion for MiniMax-M3 on ROCm</x:v>
      </x:c>
      <x:c r="D33" s="1910" t="str">
        <x:v>rocm; ready; minimax</x:v>
      </x:c>
      <x:c r="E33" s="1907" t="str">
        <x:v>MiniMax-M3 ROCm稀疏路径未覆盖packed LBHNC的融合QK norm和FP8 index_q。</x:v>
      </x:c>
      <x:c r="F33" s="1907" t="str">
        <x:v>接入AITER四路QK融合、SHUFFLE span和FP8能力探测，不满足则回退。</x:v>
      </x:c>
      <x:c r="G33" s="1907" t="str">
        <x:v>减少norm和cast中间开销；AITER能力和缓存布局是硬件专用边界。</x:v>
      </x:c>
      <x:c r="H33" s="1910" t="str">
        <x:v>否</x:v>
      </x:c>
      <x:c r="I33" s="1907" t="str">
        <x:v>vllm/_aiter_ops.py; vllm/models/minimax_m3/amd/model.py; tests/kernels/attention/test_minimax_m3.py</x:v>
      </x:c>
      <x:c r="J33" s="1907" t="str">
        <x:v>https://github.com/vllm-project/vllm/pull/54535</x:v>
      </x:c>
    </x:row>
    <x:row r="34" ht="70" customHeight="1">
      <x:c r="A34" s="1854" t="str">
        <x:v>#57877</x:v>
      </x:c>
      <x:c r="B34" s="1915" t="n">
        <x:v>46286.71975694445</x:v>
      </x:c>
      <x:c r="C34" s="1854" t="str">
        <x:v>[CI][ROCm] Mirror remaining portable suites without duplicate coverage</x:v>
      </x:c>
      <x:c r="D34" s="1854" t="str">
        <x:v>rocm; ready; torch.compile; ci/build</x:v>
      </x:c>
      <x:c r="E34" s="1856" t="str">
        <x:v>AMD缺少部分可移植测试且部分重复，startup测试fork不安全。</x:v>
      </x:c>
      <x:c r="F34" s="1856" t="str">
        <x:v>补七组镜像，统一覆盖归属，ROCm/XPU startup用spawn并保留断言。</x:v>
      </x:c>
      <x:c r="G34" s="1856" t="str">
        <x:v>补覆盖避免重复消耗；NPU不能把CI镜像视作推理收益。</x:v>
      </x:c>
      <x:c r="H34" s="1854" t="str">
        <x:v>否</x:v>
      </x:c>
      <x:c r="I34" s="1856" t="str">
        <x:v>.buildkite/test-amd.yaml; .buildkite/test_areas/engine.yaml; .buildkite/test_areas/kernels.yaml; .buildkite/test_areas/models_basic.yaml; .buildkite/test_areas/models_language.yaml</x:v>
      </x:c>
      <x:c r="J34" s="1856" t="str">
        <x:v>https://github.com/vllm-project/vllm/pull/57877</x:v>
      </x:c>
    </x:row>
    <x:row r="35" ht="70" customHeight="1">
      <x:c r="A35" s="1910" t="str">
        <x:v>#57903</x:v>
      </x:c>
      <x:c r="B35" s="1914" t="n">
        <x:v>46286.7215162037</x:v>
      </x:c>
      <x:c r="C35" s="1910" t="str">
        <x:v>[CI][ROCm] Increase timeout for MI300 Distributed DP Extended</x:v>
      </x:c>
      <x:c r="D35" s="1910" t="str">
        <x:v>rocm; ci/build</x:v>
      </x:c>
      <x:c r="E35" s="1907" t="str">
        <x:v>MI300分布式DP扩展测试接近60分钟上限，正常运行也被终止。</x:v>
      </x:c>
      <x:c r="F35" s="1907" t="str">
        <x:v>超时由60改为75分钟。</x:v>
      </x:c>
      <x:c r="G35" s="1907" t="str">
        <x:v>按历史最长成功耗时留25%余量，不修改测试断言。</x:v>
      </x:c>
      <x:c r="H35" s="1910" t="str">
        <x:v>是</x:v>
      </x:c>
      <x:c r="I35" s="1907" t="str">
        <x:v>.buildkite/test-amd.yaml</x:v>
      </x:c>
      <x:c r="J35" s="1907" t="str">
        <x:v>https://github.com/vllm-project/vllm/pull/57903</x:v>
      </x:c>
    </x:row>
    <x:row r="36" ht="70" customHeight="1">
      <x:c r="A36" s="1854" t="str">
        <x:v>#45635</x:v>
      </x:c>
      <x:c r="B36" s="1915" t="n">
        <x:v>46286.76741898148</x:v>
      </x:c>
      <x:c r="C36" s="1854" t="str">
        <x:v>[AuxOutput] Add block-keyed storage for routed-expert outputs</x:v>
      </x:c>
      <x:c r="D36" s="1854" t="str">
        <x:v>documentation; frontend; ready; ray; v1; kv-connector; mrv2; scheduler</x:v>
      </x:c>
      <x:c r="E36" s="1856" t="str">
        <x:v>请求局部R3缓冲无法稳定处理prefix命中、物理槽复用、投机拒绝和异步输出。</x:v>
      </x:c>
      <x:c r="F36" s="1856" t="str">
        <x:v>引入AuxOutput Connector，以KV哈希保存不可变R3块，在异步输出流复制并发布到有界SHM。</x:v>
      </x:c>
      <x:c r="G36" s="1856" t="str">
        <x:v>将逻辑token归属与存储生命周期解耦；保留API但替换内部类型/初始化方法，需适配NPU。</x:v>
      </x:c>
      <x:c r="H36" s="1854" t="str">
        <x:v>否</x:v>
      </x:c>
      <x:c r="I36" s="1856" t="str">
        <x:v>vllm/config/__init__.py; vllm/config/aux_output.py; vllm/config/model.py; vllm/config/vllm.py; vllm/distributed/aux_output_connector/__init__.py</x:v>
      </x:c>
      <x:c r="J36" s="1856" t="str">
        <x:v>https://github.com/vllm-project/vllm/pull/45635</x:v>
      </x:c>
    </x:row>
    <x:row r="37" ht="70" customHeight="1">
      <x:c r="A37" s="1910" t="str">
        <x:v>#57906</x:v>
      </x:c>
      <x:c r="B37" s="1914" t="n">
        <x:v>46286.7703125</x:v>
      </x:c>
      <x:c r="C37" s="1910" t="str">
        <x:v>[Bugfix][ROCm][DSv4.1] Disable SWA bounded replay on ROCm</x:v>
      </x:c>
      <x:c r="D37" s="1910" t="str">
        <x:v>bug; rocm; ready; deepseek; DSv4.1</x:v>
      </x:c>
      <x:c r="E37" s="1907" t="str">
        <x:v>ROCm sparse SWA缺少prefill窗口clamp，bounded replay遇prefix重放访问padding后越界。</x:v>
      </x:c>
      <x:c r="F37" s="1907" t="str">
        <x:v>在ROCm禁用bounded replay，恢复SWA参与prefix cache的旧语义。</x:v>
      </x:c>
      <x:c r="G37" s="1907" t="str">
        <x:v>不能只转发replay_start而缺少消费算子配套。</x:v>
      </x:c>
      <x:c r="H37" s="1910" t="str">
        <x:v>是</x:v>
      </x:c>
      <x:c r="I37" s="1907" t="str">
        <x:v>vllm/models/deepseek_v41/attention.py</x:v>
      </x:c>
      <x:c r="J37" s="1907" t="str">
        <x:v>https://github.com/vllm-project/vllm/pull/57906</x:v>
      </x:c>
    </x:row>
    <x:row r="38" ht="70" customHeight="1">
      <x:c r="A38" s="1854" t="str">
        <x:v>#57545</x:v>
      </x:c>
      <x:c r="B38" s="1915" t="n">
        <x:v>46286.78922453704</x:v>
      </x:c>
      <x:c r="C38" s="1854" t="str">
        <x:v>[Test] Organize structured output utility tests</x:v>
      </x:c>
      <x:c r="D38" s="1854" t="str">
        <x:v>structured-output; ready</x:v>
      </x:c>
      <x:c r="E38" s="1856" t="str">
        <x:v>structured output单测组织分散，功能与历史来源难追踪。</x:v>
      </x:c>
      <x:c r="F38" s="1856" t="str">
        <x:v>按被测函数和相关PR重新组织测试类。</x:v>
      </x:c>
      <x:c r="G38" s="1856" t="str">
        <x:v>断言和覆盖不变，不计新增优化或Bugfix。</x:v>
      </x:c>
      <x:c r="H38" s="1854" t="str">
        <x:v>否</x:v>
      </x:c>
      <x:c r="I38" s="1856" t="str">
        <x:v>tests/v1/structured_output/test_utils.py</x:v>
      </x:c>
      <x:c r="J38" s="1856" t="str">
        <x:v>https://github.com/vllm-project/vllm/pull/57545</x:v>
      </x:c>
    </x:row>
    <x:row r="39" ht="79.5" customHeight="1">
      <x:c r="A39" s="1910" t="str">
        <x:v>#57876</x:v>
      </x:c>
      <x:c r="B39" s="1914" t="n">
        <x:v>46286.79730324074</x:v>
      </x:c>
      <x:c r="C39" s="1910" t="str">
        <x:v>[CI][ROCm] Add ten AMD parity groups</x:v>
      </x:c>
      <x:c r="D39" s="1910" t="str">
        <x:v>rocm; ready; ci/build; deepseek</x:v>
      </x:c>
      <x:c r="E39" s="1907" t="str">
        <x:v>AMD十组功能/精度测试没有与上游对齐的镜像。</x:v>
      </x:c>
      <x:c r="F39" s="1907" t="str">
        <x:v>新增EC、PD、隐藏状态、watermark、MoE等镜像及ROCm配置。</x:v>
      </x:c>
      <x:c r="G39" s="1907" t="str">
        <x:v>补测试覆盖，明确仅部分本地验证完成；不算运行时收益。</x:v>
      </x:c>
      <x:c r="H39" s="1910" t="str">
        <x:v>否</x:v>
      </x:c>
      <x:c r="I39" s="1907" t="str">
        <x:v>.buildkite/test-amd.yaml; .buildkite/test_areas/disaggregated.yaml; .buildkite/test_areas/disaggregated_ec.yaml; .buildkite/test_areas/disaggregated_mooncake.yaml; .buildkite/test_areas/distributed.yaml</x:v>
      </x:c>
      <x:c r="J39" s="1907" t="str">
        <x:v>https://github.com/vllm-project/vllm/pull/57876</x:v>
      </x:c>
    </x:row>
    <x:row r="40" ht="70" customHeight="1">
      <x:c r="A40" s="1854" t="str">
        <x:v>#57833</x:v>
      </x:c>
      <x:c r="B40" s="1915" t="n">
        <x:v>46286.868622685186</x:v>
      </x:c>
      <x:c r="C40" s="1854" t="str">
        <x:v>[Security] Prefer fresh multimodal payloads over a stale receiver cache</x:v>
      </x:c>
      <x:c r="D40" s="1854" t="str">
        <x:v>ready; multi-modality</x:v>
      </x:c>
      <x:c r="E40" s="1856" t="str">
        <x:v>接收端缓存命中覆盖前端重发的新tensor，布局和数据不一致可导致engine崩溃。</x:v>
      </x:c>
      <x:c r="F40" s="1856" t="str">
        <x:v>有新payload时先移除旧缓存并存新值；仅无payload时读缓存。</x:v>
      </x:c>
      <x:c r="G40" s="1856" t="str">
        <x:v>前后端LRU会独立淘汰，hash命中不能压过新数据；encoder跨缓存一致性另有后续风险。</x:v>
      </x:c>
      <x:c r="H40" s="1854" t="str">
        <x:v>是</x:v>
      </x:c>
      <x:c r="I40" s="1856" t="str">
        <x:v>vllm/multimodal/cache.py; tests/multimodal/test_cache.py</x:v>
      </x:c>
      <x:c r="J40" s="1856" t="str">
        <x:v>https://github.com/vllm-project/vllm/pull/57833</x:v>
      </x:c>
    </x:row>
    <x:row r="41" ht="70" customHeight="1">
      <x:c r="A41" s="1910" t="str">
        <x:v>#57889</x:v>
      </x:c>
      <x:c r="B41" s="1914" t="n">
        <x:v>46286.87150462963</x:v>
      </x:c>
      <x:c r="C41" s="1910" t="str">
        <x:v>[CI][XPU] Deselect Ray UT in XPU V1 test Job</x:v>
      </x:c>
      <x:c r="D41" s="1910" t="str">
        <x:v>intel-gpu; ray; ci/build</x:v>
      </x:c>
      <x:c r="E41" s="1907" t="str">
        <x:v>XPU V1测试job包含暂不适用的NIXL Ray参数。</x:v>
      </x:c>
      <x:c r="F41" s="1907" t="str">
        <x:v>只取消该测试的ray参数选择。</x:v>
      </x:c>
      <x:c r="G41" s="1907" t="str">
        <x:v>CI隔离，未修复生产NIXL/Ray逻辑，不计运行Bugfix。</x:v>
      </x:c>
      <x:c r="H41" s="1910" t="str">
        <x:v>否</x:v>
      </x:c>
      <x:c r="I41" s="1907" t="str">
        <x:v>.buildkite/intel_jobs/test-intel.yaml</x:v>
      </x:c>
      <x:c r="J41" s="1907" t="str">
        <x:v>https://github.com/vllm-project/vllm/pull/57889</x:v>
      </x:c>
    </x:row>
    <x:row r="42" ht="70" customHeight="1">
      <x:c r="A42" s="1854" t="str">
        <x:v>#57234</x:v>
      </x:c>
      <x:c r="B42" s="1915" t="n">
        <x:v>46286.894224537034</x:v>
      </x:c>
      <x:c r="C42" s="1854" t="str">
        <x:v>[Bugfix][Multimodal] Tolerate malformed EXIF in Molmo 2 image preprocessing</x:v>
      </x:c>
      <x:c r="D42" s="1854" t="str">
        <x:v>bug; ready; multi-modality</x:v>
      </x:c>
      <x:c r="E42" s="1856" t="str">
        <x:v>Molmo2重复EXIF解析仍可抛异常，hasher修复后请求继续500。</x:v>
      </x:c>
      <x:c r="F42" s="1856" t="str">
        <x:v>复用带异常容忍的normalize_image。</x:v>
      </x:c>
      <x:c r="G42" s="1856" t="str">
        <x:v>Pillow惰性状态使第二次解析才失败，需新鲜图片复现；最终PR未携带新增单测。</x:v>
      </x:c>
      <x:c r="H42" s="1854" t="str">
        <x:v>是</x:v>
      </x:c>
      <x:c r="I42" s="1856" t="str">
        <x:v>vllm/model_executor/models/molmo2.py</x:v>
      </x:c>
      <x:c r="J42" s="1856" t="str">
        <x:v>https://github.com/vllm-project/vllm/pull/57234</x:v>
      </x:c>
    </x:row>
    <x:row r="43" ht="93" customHeight="1">
      <x:c r="A43" s="1910" t="str">
        <x:v>#57922</x:v>
      </x:c>
      <x:c r="B43" s="1914" t="n">
        <x:v>46286.92630787037</x:v>
      </x:c>
      <x:c r="C43" s="1910" t="str">
        <x:v>[Frontend] Add streaming parity tests and docs for derender</x:v>
      </x:c>
      <x:c r="D43" s="1910" t="str">
        <x:v>documentation; frontend; ready; build-docs</x:v>
      </x:c>
      <x:c r="E43" s="1907" t="str">
        <x:v>streaming derender缺少与耦合chat输出的对等测试和协议说明。</x:v>
      </x:c>
      <x:c r="F43" s="1907" t="str">
        <x:v>补reasoning/tool call、多token及尾部空chunk测试和文档。</x:v>
      </x:c>
      <x:c r="G43" s="1907" t="str">
        <x:v>只增加验证与说明；protocol改动为文档标记，不新增性能功能。</x:v>
      </x:c>
      <x:c r="H43" s="1910" t="str">
        <x:v>否</x:v>
      </x:c>
      <x:c r="I43" s="1907" t="str">
        <x:v>vllm/entrypoints/scale_out/token_in_token_out/protocol.py; docs/serving/online_serving/derenderer.md; tests/entrypoints/scale_out/derender/test_derender_parity.py; tests/entrypoints/scale_out/derender/test_derender_stream.py; tests/entrypoints/scale_out/derender/utils.py</x:v>
      </x:c>
      <x:c r="J43" s="1907" t="str">
        <x:v>https://github.com/vllm-project/vllm/pull/57922</x:v>
      </x:c>
    </x:row>
    <x:row r="44" ht="70" customHeight="1">
      <x:c r="A44" s="1854" t="str">
        <x:v>#57869</x:v>
      </x:c>
      <x:c r="B44" s="1915" t="n">
        <x:v>46286.946377314816</x:v>
      </x:c>
      <x:c r="C44" s="1854" t="str">
        <x:v>[ROCm][Tests] Reduce host memory when downcasting FP32 HF references</x:v>
      </x:c>
      <x:c r="D44" s="1854" t="str">
        <x:v>rocm; ready</x:v>
      </x:c>
      <x:c r="E44" s="1856" t="str">
        <x:v>ROCm测试加载FP32参考模型再转低精度占用过高主机内存。</x:v>
      </x:c>
      <x:c r="F44" s="1856" t="str">
        <x:v>满足严格原生FP32条件时直接加载到设备，其他情况保留staged加载。</x:v>
      </x:c>
      <x:c r="G44" s="1856" t="str">
        <x:v>源dtype、量化、remote code等限制防止收益反转；不是已证明的CI OOM根因修复。</x:v>
      </x:c>
      <x:c r="H44" s="1854" t="str">
        <x:v>否</x:v>
      </x:c>
      <x:c r="I44" s="1856" t="str">
        <x:v>tests/conftest.py</x:v>
      </x:c>
      <x:c r="J44" s="1856" t="str">
        <x:v>https://github.com/vllm-project/vllm/pull/57869</x:v>
      </x:c>
    </x:row>
    <x:row r="45" ht="79.5" customHeight="1">
      <x:c r="A45" s="1910" t="str">
        <x:v>#57913</x:v>
      </x:c>
      <x:c r="B45" s="1914" t="n">
        <x:v>46286.94662037037</x:v>
      </x:c>
      <x:c r="C45" s="1910" t="str">
        <x:v>[MM] Move `supports_multimodal_inputs` and cache out of registry</x:v>
      </x:c>
      <x:c r="D45" s="1910" t="str">
        <x:v>speculative-decoding; ready; multi-modality; kv-connector; mrv2; mistral; kimi; k3; scheduler; cohere</x:v>
      </x:c>
      <x:c r="E45" s="1907" t="str">
        <x:v>MM_REGISTRY同时负责能力判断和缓存构造，职责耦合且缓存类混在单文件。</x:v>
      </x:c>
      <x:c r="F45" s="1907" t="str">
        <x:v>能力判断移到ModelConfig，缓存拆包并更名，调用点改用factory。</x:v>
      </x:c>
      <x:c r="G45" s="1907" t="str">
        <x:v>减少registry依赖并保留缓存语义；旧直接import/调用需检查兼容。</x:v>
      </x:c>
      <x:c r="H45" s="1910" t="str">
        <x:v>否</x:v>
      </x:c>
      <x:c r="I45" s="1907" t="str">
        <x:v>vllm/config/model.py; vllm/multimodal/cache.py; vllm/multimodal/cache/__init__.py; vllm/multimodal/cache/base.py; vllm/multimodal/cache/factories.py</x:v>
      </x:c>
      <x:c r="J45" s="1907" t="str">
        <x:v>https://github.com/vllm-project/vllm/pull/57913</x:v>
      </x:c>
    </x:row>
    <x:row r="46" ht="70" customHeight="1">
      <x:c r="A46" s="1854" t="str">
        <x:v>#57498</x:v>
      </x:c>
      <x:c r="B46" s="1915" t="n">
        <x:v>46286.9490625</x:v>
      </x:c>
      <x:c r="C46" s="1854" t="str">
        <x:v>[Pooling] Fix normalization of chunked long-text embeddings</x:v>
      </x:c>
      <x:c r="D46" s="1854" t="str">
        <x:v>frontend; ready</x:v>
      </x:c>
      <x:c r="E46" s="1856" t="str">
        <x:v>已归一化分块向量的加权平均不再单位范数，长文embedding内积检索变化。</x:v>
      </x:c>
      <x:c r="F46" s="1856" t="str">
        <x:v>记录实际chunk范数，仅多块且均L2归一化并启用activation时重归一化。</x:v>
      </x:c>
      <x:c r="G46" s="1856" t="str">
        <x:v>use_activation不保证L2；单块和原始输出保留，升级需处理旧长文索引。</x:v>
      </x:c>
      <x:c r="H46" s="1854" t="str">
        <x:v>是</x:v>
      </x:c>
      <x:c r="I46" s="1856" t="str">
        <x:v>vllm/entrypoints/pooling/embed/io_processor.py</x:v>
      </x:c>
      <x:c r="J46" s="1856" t="str">
        <x:v>https://github.com/vllm-project/vllm/pull/57498</x:v>
      </x:c>
    </x:row>
    <x:row r="47" ht="70" customHeight="1">
      <x:c r="A47" s="1910" t="str">
        <x:v>#57948</x:v>
      </x:c>
      <x:c r="B47" s="1914" t="n">
        <x:v>46286.955300925925</x:v>
      </x:c>
      <x:c r="C47" s="1910" t="str">
        <x:v>[Bugfix][Frontend] Accept diarized transcription responses in run-batch</x:v>
      </x:c>
      <x:c r="D47" s="1910" t="str">
        <x:v>bug; frontend; ready</x:v>
      </x:c>
      <x:c r="E47" s="1907" t="str">
        <x:v>run-batch遗漏diarized响应类型，将正常非流式转写误判为stream而返回400。</x:v>
      </x:c>
      <x:c r="F47" s="1907" t="str">
        <x:v>响应union和wrapper统一引用TranscriptionResponseVariant。</x:v>
      </x:c>
      <x:c r="G47" s="1907" t="str">
        <x:v>复用规范类型避免新增响应格式时分叉遗漏。</x:v>
      </x:c>
      <x:c r="H47" s="1910" t="str">
        <x:v>是</x:v>
      </x:c>
      <x:c r="I47" s="1907" t="str">
        <x:v>vllm/entrypoints/launchers/run_batch.py</x:v>
      </x:c>
      <x:c r="J47" s="1907" t="str">
        <x:v>https://github.com/vllm-project/vllm/pull/57948</x:v>
      </x:c>
    </x:row>
    <x:row r="48" ht="79.5" customHeight="1">
      <x:c r="A48" s="1854" t="str">
        <x:v>#52362</x:v>
      </x:c>
      <x:c r="B48" s="1915" t="n">
        <x:v>46286.96090277778</x:v>
      </x:c>
      <x:c r="C48" s="1854" t="str">
        <x:v>[ROCm][DSv4] Enable DSpark adaptive verification</x:v>
      </x:c>
      <x:c r="D48" s="1854" t="str">
        <x:v>rocm; ready; deepseek; DSv4; dflash</x:v>
      </x:c>
      <x:c r="E48" s="1856" t="str">
        <x:v>ROCm DSpark缺少confidence head和设备边界驱动的变长验证链。</x:v>
      </x:c>
      <x:c r="F48" s="1856" t="str">
        <x:v>增加confidence加载/计算，开启受限的变长FULL图metadata及indexer flatten。</x:v>
      </x:c>
      <x:c r="G48" s="1856" t="str">
        <x:v>动态分配draft预算提高高并发吞吐；低并发存在退化，不能全局宣称加速。</x:v>
      </x:c>
      <x:c r="H48" s="1854" t="str">
        <x:v>否</x:v>
      </x:c>
      <x:c r="I48" s="1856" t="str">
        <x:v>vllm/models/deepseek_v4/amd/dspark.py; vllm/models/deepseek_v4/amd/rocm.py; vllm/v1/attention/backends/mla/indexer.py; tests/kernels/attention/test_rocm_triton_attn_dsv4.py; tests/models/test_deepseek_v4_dspark_rocm.py</x:v>
      </x:c>
      <x:c r="J48" s="1856" t="str">
        <x:v>https://github.com/vllm-project/vllm/pull/52362</x:v>
      </x:c>
    </x:row>
    <x:row r="49" ht="70" customHeight="1">
      <x:c r="A49" s="1910" t="str">
        <x:v>#53743</x:v>
      </x:c>
      <x:c r="B49" s="1914" t="n">
        <x:v>46286.97170138889</x:v>
      </x:c>
      <x:c r="C49" s="1910" t="str">
        <x:v>[Bugfix] Fix external LB DP rank handling when replicas share nodes</x:v>
      </x:c>
      <x:c r="D49" s="1910" t="str">
        <x:v>bug; documentation; ready</x:v>
      </x:c>
      <x:c r="E49" s="1907" t="str">
        <x:v>external LB多副本共节点时nnodes_within_dp为零，显式DP rank也会被覆盖。</x:v>
      </x:c>
      <x:c r="F49" s="1907" t="str">
        <x:v>external LB节点数至少1，保留显式rank，不可推断时要求显式指定，internal LB非法配置报错。</x:v>
      </x:c>
      <x:c r="G49" s="1907" t="str">
        <x:v>避免除零和重复rank，同时不以clamp掩盖内部LB配置错误。</x:v>
      </x:c>
      <x:c r="H49" s="1910" t="str">
        <x:v>是</x:v>
      </x:c>
      <x:c r="I49" s="1907" t="str">
        <x:v>vllm/config/parallel.py; vllm/engine/arg_utils.py; docs/serving/data_parallel_deployment.md; tests/test_config.py; tests/v1/engine/test_engine_args.py</x:v>
      </x:c>
      <x:c r="J49" s="1907" t="str">
        <x:v>https://github.com/vllm-project/vllm/pull/53743</x:v>
      </x:c>
    </x:row>
    <x:row r="50" ht="70" customHeight="1">
      <x:c r="A50" s="1854" t="str">
        <x:v>#57958</x:v>
      </x:c>
      <x:c r="B50" s="1915" t="n">
        <x:v>46286.98086805556</x:v>
      </x:c>
      <x:c r="C50" s="1854" t="str">
        <x:v>[docs] Fix legacy hf CLI references (vllm)</x:v>
      </x:c>
      <x:c r="D50" s="1854" t="str">
        <x:v>documentation; rocm; ready; ci/build; build-docs</x:v>
      </x:c>
      <x:c r="E50" s="1856" t="str">
        <x:v>HF Hub1.x已取消cli extra且旧命令/锚点过时。</x:v>
      </x:c>
      <x:c r="F50" s="1856" t="str">
        <x:v>Docker安装去掉[cli]，文档统一hf命令与链接。</x:v>
      </x:c>
      <x:c r="G50" s="1856" t="str">
        <x:v>部署文档维护，不改变推理执行链。</x:v>
      </x:c>
      <x:c r="H50" s="1854" t="str">
        <x:v>否</x:v>
      </x:c>
      <x:c r="I50" s="1856" t="str">
        <x:v>docker/Dockerfile.rock; docker/Dockerfile.rocm; docker/Dockerfile.rocm_gfx1250; docs/getting_started/installation/gpu.rocm.inc.md; docs/models/supported_models.md</x:v>
      </x:c>
      <x:c r="J50" s="1856" t="str">
        <x:v>https://github.com/vllm-project/vllm/pull/57958</x:v>
      </x:c>
    </x:row>
    <x:row r="51" ht="79.5" customHeight="1">
      <x:c r="A51" s="1910" t="str">
        <x:v>#57389</x:v>
      </x:c>
      <x:c r="B51" s="1914" t="n">
        <x:v>46286.99849537037</x:v>
      </x:c>
      <x:c r="C51" s="1910" t="str">
        <x:v>[Bugfix][NIXL] Fix DCP pulls across MLA cache regions</x:v>
      </x:c>
      <x:c r="D51" s="1910" t="str">
        <x:v>bug; kv-connector</x:v>
      </x:c>
      <x:c r="E51" s="1907" t="str">
        <x:v>NIXL异构MLA cache区域映射假设单source rank，DCP prefiller无法正确拉取。</x:v>
      </x:c>
      <x:c r="F51" s="1907" t="str">
        <x:v>每个source rank按region和prefix跳过量构建READ，截断到真实长度并清padding。</x:v>
      </x:c>
      <x:c r="G51" s="1907" t="str">
        <x:v>区域布局与DCP页所有权需同时满足；逻辑/物理页不匹配时显式拒绝。</x:v>
      </x:c>
      <x:c r="H51" s="1910" t="str">
        <x:v>是</x:v>
      </x:c>
      <x:c r="I51" s="1907" t="str">
        <x:v>vllm/distributed/kv_transfer/kv_connector/v1/nixl/base_worker.py; vllm/distributed/kv_transfer/kv_connector/v1/nixl/pull_worker.py; tests/v1/kv_connector/unit/test_nixl_connector_hma.py</x:v>
      </x:c>
      <x:c r="J51" s="1907" t="str">
        <x:v>https://github.com/vllm-project/vllm/pull/57389</x:v>
      </x:c>
    </x:row>
    <x:row r="52" ht="70" customHeight="1">
      <x:c r="A52" s="1854" t="str">
        <x:v>#55001</x:v>
      </x:c>
      <x:c r="B52" s="1915" t="n">
        <x:v>46287.02101851852</x:v>
      </x:c>
      <x:c r="C52" s="1854" t="str">
        <x:v>[ROCm] Refactor tuned gemms</x:v>
      </x:c>
      <x:c r="D52" s="1854" t="str">
        <x:v>rocm; ready</x:v>
      </x:c>
      <x:c r="E52" s="1856" t="str">
        <x:v>ROCm GEMM硬编码tuned列表过时，packed K单位及架构过滤错误。</x:v>
      </x:c>
      <x:c r="F52" s="1856" t="str">
        <x:v>调用AITER原生配置查询并缓存结果，按packed字节转换K。</x:v>
      </x:c>
      <x:c r="G52" s="1856" t="str">
        <x:v>让调优库作为事实来源，避免选错fallback；同时有可核验吞吐收益。</x:v>
      </x:c>
      <x:c r="H52" s="1854" t="str">
        <x:v>是</x:v>
      </x:c>
      <x:c r="I52" s="1856" t="str">
        <x:v>vllm/_aiter_ops.py; tests/kernels/quantization/test_rocm_mxfp4.py</x:v>
      </x:c>
      <x:c r="J52" s="1856" t="str">
        <x:v>https://github.com/vllm-project/vllm/pull/55001</x:v>
      </x:c>
    </x:row>
    <x:row r="53" ht="70" customHeight="1">
      <x:c r="A53" s="1910" t="str">
        <x:v>#55767</x:v>
      </x:c>
      <x:c r="B53" s="1914" t="n">
        <x:v>46287.02667824074</x:v>
      </x:c>
      <x:c r="C53" s="1910" t="str">
        <x:v>[Bugfix] unskip InternViT test for transformers v5 compatibility</x:v>
      </x:c>
      <x:c r="D53" s="1910" t="str">
        <x:v>bug; ready; multi-modality</x:v>
      </x:c>
      <x:c r="E53" s="1907" t="str">
        <x:v>InternViT HF参考代码未初始化tied-weight元数据，transformers5加载失败导致测试跳过。</x:v>
      </x:c>
      <x:c r="F53" s="1907" t="str">
        <x:v>测试中暂时patch初始化空all_tied_weights_keys，退出后恢复，取消skip。</x:v>
      </x:c>
      <x:c r="G53" s="1907" t="str">
        <x:v>无tied weight模型适用空映射；仅测试参考模型兼容，不代表生产实现修改。</x:v>
      </x:c>
      <x:c r="H53" s="1910" t="str">
        <x:v>是</x:v>
      </x:c>
      <x:c r="I53" s="1907" t="str">
        <x:v>tests/models/multimodal/pooling/test_intern_vit.py</x:v>
      </x:c>
      <x:c r="J53" s="1907" t="str">
        <x:v>https://github.com/vllm-project/vllm/pull/55767</x:v>
      </x:c>
    </x:row>
    <x:row r="54" ht="79.5" customHeight="1">
      <x:c r="A54" s="1854" t="str">
        <x:v>#57967</x:v>
      </x:c>
      <x:c r="B54" s="1915" t="n">
        <x:v>46287.02732638889</x:v>
      </x:c>
      <x:c r="C54" s="1854" t="str">
        <x:v>[MM] Move get_dummy_processor_inputs into MM processor</x:v>
      </x:c>
      <x:c r="D54" s="1854" t="str">
        <x:v>ready; multi-modality; mistral; kimi</x:v>
      </x:c>
      <x:c r="E54" s="1856" t="str">
        <x:v>dummy builder反向调用MM processor形成循环职责。</x:v>
      </x:c>
      <x:c r="F54" s="1856" t="str">
        <x:v>get_dummy_processor_inputs移入processor，更新模型特化与测试入口。</x:v>
      </x:c>
      <x:c r="G54" s="1856" t="str">
        <x:v>由processor统一合成占位输入，避免builder与processor循环关系。</x:v>
      </x:c>
      <x:c r="H54" s="1854" t="str">
        <x:v>否</x:v>
      </x:c>
      <x:c r="I54" s="1856" t="str">
        <x:v>vllm/model_executor/models/hyperclovax_vision_v2.py; vllm/model_executor/models/kimi_audio.py; vllm/model_executor/models/moss_transcribe_diarize.py; vllm/model_executor/models/pixtral.py; vllm/model_executor/models/voxtral.py</x:v>
      </x:c>
      <x:c r="J54" s="1856" t="str">
        <x:v>https://github.com/vllm-project/vllm/pull/57967</x:v>
      </x:c>
    </x:row>
    <x:row r="55" ht="70" customHeight="1">
      <x:c r="A55" s="1910" t="str">
        <x:v>#57931</x:v>
      </x:c>
      <x:c r="B55" s="1914" t="n">
        <x:v>46287.027453703704</x:v>
      </x:c>
      <x:c r="C55" s="1910" t="str">
        <x:v>[ROCm][CI] Use ROCm backend for DeepSeek V4.1 ViT test</x:v>
      </x:c>
      <x:c r="D55" s="1910" t="str">
        <x:v>rocm; ready; multi-modality; deepseek; nvidia; DSv4.1</x:v>
      </x:c>
      <x:c r="E55" s="1907" t="str">
        <x:v>DSV4.1 ViT单测在ROCm硬编码NVIDIA backend，初始化失败。</x:v>
      </x:c>
      <x:c r="F55" s="1907" t="str">
        <x:v>ROCm选ROCM_FLASHMLA_SPARSE_DSV4，其余保持原值。</x:v>
      </x:c>
      <x:c r="G55" s="1907" t="str">
        <x:v>测试配置必须匹配硬件能力；不新增NPU视觉图支持。</x:v>
      </x:c>
      <x:c r="H55" s="1910" t="str">
        <x:v>是</x:v>
      </x:c>
      <x:c r="I55" s="1907" t="str">
        <x:v>tests/models/multimodal/generation/test_vit_cudagraph.py</x:v>
      </x:c>
      <x:c r="J55" s="1907" t="str">
        <x:v>https://github.com/vllm-project/vllm/pull/57931</x:v>
      </x:c>
    </x:row>
    <x:row r="56" ht="79.5" customHeight="1">
      <x:c r="A56" s="1854" t="str">
        <x:v>#53423</x:v>
      </x:c>
      <x:c r="B56" s="1915" t="n">
        <x:v>46287.03902777778</x:v>
      </x:c>
      <x:c r="C56" s="1854" t="str">
        <x:v>[Feature] Add first-class KV hints request envelope for programmatic KV management</x:v>
      </x:c>
      <x:c r="D56" s="1854" t="str">
        <x:v>ready; kv-connector; rust</x:v>
      </x:c>
      <x:c r="E56" s="1856" t="str">
        <x:v>程序化KV管理缺少跨Python/Rust和HTTP/gRPC的类型化请求提示载体。</x:v>
      </x:c>
      <x:c r="F56" s="1856" t="str">
        <x:v>增加KvHintsEnvelope/Action并贯通AsyncLLM、EngineCoreRequest、Request与Rust序列化。</x:v>
      </x:c>
      <x:c r="G56" s="1856" t="str">
        <x:v>先建立协议和透传，本次不执行具体hint动作，不能记为已实现KV收益。</x:v>
      </x:c>
      <x:c r="H56" s="1854" t="str">
        <x:v>否</x:v>
      </x:c>
      <x:c r="I56" s="1856" t="str">
        <x:v>vllm/distributed/kv_transfer/kv_connector/v1/offloading/scheduler.py; vllm/engine/protocol.py; vllm/v1/engine/__init__.py; vllm/v1/engine/async_llm.py; vllm/v1/engine/input_processor.py</x:v>
      </x:c>
      <x:c r="J56" s="1856" t="str">
        <x:v>https://github.com/vllm-project/vllm/pull/53423</x:v>
      </x:c>
    </x:row>
    <x:row r="57" ht="79.5" customHeight="1">
      <x:c r="A57"/>
      <x:c r="B57"/>
      <x:c r="C57"/>
      <x:c r="D57"/>
      <x:c r="E57"/>
      <x:c r="F57"/>
      <x:c r="G57"/>
      <x:c r="H57"/>
      <x:c r="I57"/>
      <x:c r="J57"/>
    </x:row>
    <x:row r="58" ht="70" customHeight="1">
      <x:c r="A58"/>
      <x:c r="B58"/>
      <x:c r="C58"/>
      <x:c r="D58"/>
      <x:c r="E58"/>
      <x:c r="F58"/>
      <x:c r="G58"/>
      <x:c r="H58"/>
      <x:c r="I58"/>
      <x:c r="J58"/>
    </x:row>
    <x:row r="59" ht="79.5" customHeight="1">
      <x:c r="A59"/>
      <x:c r="B59"/>
      <x:c r="C59"/>
      <x:c r="D59"/>
      <x:c r="E59"/>
      <x:c r="F59"/>
      <x:c r="G59"/>
      <x:c r="H59"/>
      <x:c r="I59"/>
      <x:c r="J59"/>
    </x:row>
    <x:row r="60" ht="79.5" customHeight="1">
      <x:c r="A60"/>
      <x:c r="B60"/>
      <x:c r="C60"/>
      <x:c r="D60"/>
      <x:c r="E60"/>
      <x:c r="F60"/>
      <x:c r="G60"/>
      <x:c r="H60"/>
      <x:c r="I60"/>
      <x:c r="J60"/>
    </x:row>
    <x:row r="61" ht="93" customHeight="1">
      <x:c r="A61"/>
      <x:c r="B61"/>
      <x:c r="C61"/>
      <x:c r="D61"/>
      <x:c r="E61"/>
      <x:c r="F61"/>
      <x:c r="G61"/>
      <x:c r="H61"/>
      <x:c r="I61"/>
      <x:c r="J61"/>
    </x:row>
    <x:row r="62" ht="70" customHeight="1">
      <x:c r="A62"/>
      <x:c r="B62"/>
      <x:c r="C62"/>
      <x:c r="D62"/>
      <x:c r="E62"/>
      <x:c r="F62"/>
      <x:c r="G62"/>
      <x:c r="H62"/>
      <x:c r="I62"/>
      <x:c r="J62"/>
    </x:row>
    <x:row r="63" ht="79.5" customHeight="1">
      <x:c r="A63"/>
      <x:c r="B63"/>
      <x:c r="C63"/>
      <x:c r="D63"/>
      <x:c r="E63"/>
      <x:c r="F63"/>
      <x:c r="G63"/>
      <x:c r="H63"/>
      <x:c r="I63"/>
      <x:c r="J63"/>
    </x:row>
    <x:row r="64" ht="70" customHeight="1">
      <x:c r="A64"/>
      <x:c r="B64"/>
      <x:c r="C64"/>
      <x:c r="D64"/>
      <x:c r="E64"/>
      <x:c r="F64"/>
      <x:c r="G64"/>
      <x:c r="H64"/>
      <x:c r="I64"/>
      <x:c r="J64"/>
    </x:row>
    <x:row r="65" ht="70" customHeight="1">
      <x:c r="A65"/>
      <x:c r="B65"/>
      <x:c r="C65"/>
      <x:c r="D65"/>
      <x:c r="E65"/>
      <x:c r="F65"/>
      <x:c r="G65"/>
      <x:c r="H65"/>
      <x:c r="I65"/>
      <x:c r="J65"/>
    </x:row>
    <x:row r="66" ht="70" customHeight="1">
      <x:c r="A66"/>
      <x:c r="B66"/>
      <x:c r="C66"/>
      <x:c r="D66"/>
      <x:c r="E66"/>
      <x:c r="F66"/>
      <x:c r="G66"/>
      <x:c r="H66"/>
      <x:c r="I66"/>
      <x:c r="J66"/>
    </x:row>
    <x:row r="67" ht="106.5" customHeight="1">
      <x:c r="A67"/>
      <x:c r="B67"/>
      <x:c r="C67"/>
      <x:c r="D67"/>
      <x:c r="E67"/>
      <x:c r="F67"/>
      <x:c r="G67"/>
      <x:c r="H67"/>
      <x:c r="I67"/>
      <x:c r="J67"/>
    </x:row>
    <x:row r="68" ht="79.5" customHeight="1">
      <x:c r="A68"/>
      <x:c r="B68"/>
      <x:c r="C68"/>
      <x:c r="D68"/>
      <x:c r="E68"/>
      <x:c r="F68"/>
      <x:c r="G68"/>
      <x:c r="H68"/>
      <x:c r="I68"/>
      <x:c r="J68"/>
    </x:row>
    <x:row r="69" ht="79.5" customHeight="1">
      <x:c r="A69"/>
      <x:c r="B69"/>
      <x:c r="C69"/>
      <x:c r="D69"/>
      <x:c r="E69"/>
      <x:c r="F69"/>
      <x:c r="G69"/>
      <x:c r="H69"/>
      <x:c r="I69"/>
      <x:c r="J69"/>
    </x:row>
    <x:row r="70" ht="70" customHeight="1">
      <x:c r="A70"/>
      <x:c r="B70"/>
      <x:c r="C70"/>
      <x:c r="D70"/>
      <x:c r="E70"/>
      <x:c r="F70"/>
      <x:c r="G70"/>
      <x:c r="H70"/>
      <x:c r="I70"/>
      <x:c r="J70"/>
    </x:row>
    <x:row r="71" ht="70" customHeight="1">
      <x:c r="A71"/>
      <x:c r="B71"/>
      <x:c r="C71"/>
      <x:c r="D71"/>
      <x:c r="E71"/>
      <x:c r="F71"/>
      <x:c r="G71"/>
      <x:c r="H71"/>
      <x:c r="I71"/>
      <x:c r="J71"/>
    </x:row>
    <x:row r="72" ht="70" customHeight="1">
      <x:c r="A72"/>
      <x:c r="B72"/>
      <x:c r="C72"/>
      <x:c r="D72"/>
      <x:c r="E72"/>
      <x:c r="F72"/>
      <x:c r="G72"/>
      <x:c r="H72"/>
      <x:c r="I72"/>
      <x:c r="J72"/>
    </x:row>
    <x:row r="73" ht="70" customHeight="1">
      <x:c r="A73"/>
      <x:c r="B73"/>
      <x:c r="C73"/>
      <x:c r="D73"/>
      <x:c r="E73"/>
      <x:c r="F73"/>
      <x:c r="G73"/>
      <x:c r="H73"/>
      <x:c r="I73"/>
      <x:c r="J73"/>
    </x:row>
    <x:row r="74" ht="70" customHeight="1">
      <x:c r="A74"/>
      <x:c r="B74"/>
      <x:c r="C74"/>
      <x:c r="D74"/>
      <x:c r="E74"/>
      <x:c r="F74"/>
      <x:c r="G74"/>
      <x:c r="H74"/>
      <x:c r="I74"/>
      <x:c r="J74"/>
    </x:row>
    <x:row r="75" ht="70" customHeight="1">
      <x:c r="A75"/>
      <x:c r="B75"/>
      <x:c r="C75"/>
      <x:c r="D75"/>
      <x:c r="E75"/>
      <x:c r="F75"/>
      <x:c r="G75"/>
      <x:c r="H75"/>
      <x:c r="I75"/>
      <x:c r="J75"/>
    </x:row>
    <x:row r="76" ht="70" customHeight="1">
      <x:c r="A76"/>
      <x:c r="B76"/>
      <x:c r="C76"/>
      <x:c r="D76"/>
      <x:c r="E76"/>
      <x:c r="F76"/>
      <x:c r="G76"/>
      <x:c r="H76"/>
      <x:c r="I76"/>
      <x:c r="J76"/>
    </x:row>
    <x:row r="77" ht="79.5" customHeight="1">
      <x:c r="A77"/>
      <x:c r="B77"/>
      <x:c r="C77"/>
      <x:c r="D77"/>
      <x:c r="E77"/>
      <x:c r="F77"/>
      <x:c r="G77"/>
      <x:c r="H77"/>
      <x:c r="I77"/>
      <x:c r="J77"/>
    </x:row>
    <x:row r="78" ht="106.5" customHeight="1">
      <x:c r="A78"/>
      <x:c r="B78"/>
      <x:c r="C78"/>
      <x:c r="D78"/>
      <x:c r="E78"/>
      <x:c r="F78"/>
      <x:c r="G78"/>
      <x:c r="H78"/>
      <x:c r="I78"/>
      <x:c r="J78"/>
    </x:row>
    <x:row r="79" ht="70" customHeight="1">
      <x:c r="A79"/>
      <x:c r="B79"/>
      <x:c r="C79"/>
      <x:c r="D79"/>
      <x:c r="E79"/>
      <x:c r="F79"/>
      <x:c r="G79"/>
      <x:c r="H79"/>
      <x:c r="I79"/>
      <x:c r="J79"/>
    </x:row>
    <x:row r="80" ht="79.5" customHeight="1">
      <x:c r="A80"/>
      <x:c r="B80"/>
      <x:c r="C80"/>
      <x:c r="D80"/>
      <x:c r="E80"/>
      <x:c r="F80"/>
      <x:c r="G80"/>
      <x:c r="H80"/>
      <x:c r="I80"/>
      <x:c r="J80"/>
    </x:row>
    <x:row r="81" ht="70" customHeight="1">
      <x:c r="A81"/>
      <x:c r="B81"/>
      <x:c r="C81"/>
      <x:c r="D81"/>
      <x:c r="E81"/>
      <x:c r="F81"/>
      <x:c r="G81"/>
      <x:c r="H81"/>
      <x:c r="I81"/>
      <x:c r="J81"/>
    </x:row>
    <x:row r="82" ht="70" customHeight="1">
      <x:c r="A82"/>
      <x:c r="B82"/>
      <x:c r="C82"/>
      <x:c r="D82"/>
      <x:c r="E82"/>
      <x:c r="F82"/>
      <x:c r="G82"/>
      <x:c r="H82"/>
      <x:c r="I82"/>
      <x:c r="J82"/>
    </x:row>
    <x:row r="83" ht="70" customHeight="1">
      <x:c r="A83"/>
      <x:c r="B83"/>
      <x:c r="C83"/>
      <x:c r="D83"/>
      <x:c r="E83"/>
      <x:c r="F83"/>
      <x:c r="G83"/>
      <x:c r="H83"/>
      <x:c r="I83"/>
      <x:c r="J83"/>
    </x:row>
    <x:row r="84" ht="70" customHeight="1">
      <x:c r="A84"/>
      <x:c r="B84"/>
      <x:c r="C84"/>
      <x:c r="D84"/>
      <x:c r="E84"/>
      <x:c r="F84"/>
      <x:c r="G84"/>
      <x:c r="H84"/>
      <x:c r="I84"/>
      <x:c r="J84"/>
    </x:row>
    <x:row r="85" ht="70" customHeight="1">
      <x:c r="A85"/>
      <x:c r="B85"/>
      <x:c r="C85"/>
      <x:c r="D85"/>
      <x:c r="E85"/>
      <x:c r="F85"/>
      <x:c r="G85"/>
      <x:c r="H85"/>
      <x:c r="I85"/>
      <x:c r="J85"/>
    </x:row>
    <x:row r="86" ht="70" customHeight="1">
      <x:c r="A86"/>
      <x:c r="B86"/>
      <x:c r="C86"/>
      <x:c r="D86"/>
      <x:c r="E86"/>
      <x:c r="F86"/>
      <x:c r="G86"/>
      <x:c r="H86"/>
      <x:c r="I86"/>
      <x:c r="J86"/>
    </x:row>
    <x:row r="87" ht="70" customHeight="1">
      <x:c r="A87"/>
      <x:c r="B87"/>
      <x:c r="C87"/>
      <x:c r="D87"/>
      <x:c r="E87"/>
      <x:c r="F87"/>
      <x:c r="G87"/>
      <x:c r="H87"/>
      <x:c r="I87"/>
      <x:c r="J87"/>
    </x:row>
    <x:row r="88" ht="70" customHeight="1">
      <x:c r="A88"/>
      <x:c r="B88"/>
      <x:c r="C88"/>
      <x:c r="D88"/>
      <x:c r="E88"/>
      <x:c r="F88"/>
      <x:c r="G88"/>
      <x:c r="H88"/>
      <x:c r="I88"/>
      <x:c r="J88"/>
    </x:row>
    <x:row r="89" ht="93" customHeight="1">
      <x:c r="A89"/>
      <x:c r="B89"/>
      <x:c r="C89"/>
      <x:c r="D89"/>
      <x:c r="E89"/>
      <x:c r="F89"/>
      <x:c r="G89"/>
      <x:c r="H89"/>
      <x:c r="I89"/>
      <x:c r="J89"/>
    </x:row>
    <x:row r="90" ht="93" customHeight="1">
      <x:c r="A90"/>
      <x:c r="B90"/>
      <x:c r="C90"/>
      <x:c r="D90"/>
      <x:c r="E90"/>
      <x:c r="F90"/>
      <x:c r="G90"/>
      <x:c r="H90"/>
      <x:c r="I90"/>
      <x:c r="J90"/>
    </x:row>
    <x:row r="91" ht="70" customHeight="1">
      <x:c r="A91"/>
      <x:c r="B91"/>
      <x:c r="C91"/>
      <x:c r="D91"/>
      <x:c r="E91"/>
      <x:c r="F91"/>
      <x:c r="G91"/>
      <x:c r="H91"/>
      <x:c r="I91"/>
      <x:c r="J91"/>
    </x:row>
  </x:sheetData>
  <x:mergeCells>
    <x:mergeCell ref="A1:J1"/>
    <x:mergeCell ref="A2:J2"/>
  </x:mergeCells>
  <x:conditionalFormatting sqref="H5:H43">
    <x:cfRule type="containsText" dxfId="16" priority="1" operator="containsText" text="是"/>
  </x:conditionalFormatting>
  <x:conditionalFormatting sqref="H5:H46">
    <x:cfRule type="containsText" dxfId="31" priority="2" operator="containsText" text="是"/>
  </x:conditionalFormatting>
  <x:conditionalFormatting sqref="H5:H42">
    <x:cfRule type="containsText" dxfId="41" priority="3" operator="containsText" text="是"/>
  </x:conditionalFormatting>
  <x:conditionalFormatting sqref="H5:H50">
    <x:cfRule type="containsText" dxfId="51" priority="4" operator="containsText" text="是"/>
  </x:conditionalFormatting>
  <x:conditionalFormatting sqref="H5:H45">
    <x:cfRule type="containsText" dxfId="61" priority="5" operator="containsText" text="是"/>
  </x:conditionalFormatting>
  <x:conditionalFormatting sqref="H5:H49">
    <x:cfRule type="containsText" dxfId="71" priority="6" operator="containsText" text="是"/>
  </x:conditionalFormatting>
  <x:conditionalFormatting sqref="H5:H62">
    <x:cfRule type="containsText" dxfId="81" priority="7" operator="containsText" text="是"/>
  </x:conditionalFormatting>
  <x:conditionalFormatting sqref="H5:H66">
    <x:cfRule type="containsText" dxfId="91" priority="8" operator="containsText" text="是"/>
  </x:conditionalFormatting>
  <x:conditionalFormatting sqref="H5:H61">
    <x:cfRule type="containsText" dxfId="101" priority="9" operator="containsText" text="是"/>
  </x:conditionalFormatting>
  <x:conditionalFormatting sqref="H5:H48">
    <x:cfRule type="containsText" dxfId="111" priority="10" operator="containsText" text="是"/>
  </x:conditionalFormatting>
  <x:conditionalFormatting sqref="H5:H36">
    <x:cfRule type="containsText" dxfId="121" priority="11" operator="containsText" text="是"/>
  </x:conditionalFormatting>
  <x:conditionalFormatting sqref="H5:H64">
    <x:cfRule type="containsText" dxfId="131" priority="12" operator="containsText" text="是"/>
  </x:conditionalFormatting>
  <x:conditionalFormatting sqref="H5:H74">
    <x:cfRule type="containsText" dxfId="141" priority="13" operator="containsText" text="是"/>
    <x:cfRule type="containsText" dxfId="151" priority="14" operator="containsText" text="是"/>
  </x:conditionalFormatting>
  <x:conditionalFormatting sqref="H5:H91">
    <x:cfRule type="containsText" dxfId="161" priority="15" operator="containsText" text="是"/>
  </x:conditionalFormatting>
  <x:conditionalFormatting sqref="H5:H70">
    <x:cfRule type="containsText" dxfId="171" priority="16" operator="containsText" text="是"/>
  </x:conditionalFormatting>
  <x:conditionalFormatting sqref="H5:H32">
    <x:cfRule type="containsText" dxfId="181" priority="17" operator="containsText" text="是"/>
  </x:conditionalFormatting>
  <x:conditionalFormatting sqref="H5:H33">
    <x:cfRule type="containsText" dxfId="191" priority="18" operator="containsText" text="是"/>
  </x:conditionalFormatting>
  <x:conditionalFormatting sqref="H5:H56">
    <x:cfRule type="containsText" dxfId="201" priority="19" operator="containsText" text="是"/>
  </x:conditionalFormatting>
  <x:pageMargins left="0.7" right="0.7" top="0.75" bottom="0.75" header="0.3" footer="0.3"/>
  <x:tableParts count="1">
    <x:tablePart xmlns:r="http://schemas.openxmlformats.org/officeDocument/2006/relationships" r:id="Reb40ceb91aa64b0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20" hidden="0" customWidth="1"/>
    <x:col min="4" max="4" width="38" hidden="0" customWidth="1"/>
    <x:col min="5" max="5" width="22" hidden="0" customWidth="1"/>
    <x:col min="6" max="6" width="38" hidden="0" customWidth="1"/>
    <x:col min="7" max="7" width="40" hidden="0" customWidth="1"/>
    <x:col min="8" max="8" width="40" hidden="0" customWidth="1"/>
    <x:col min="9" max="9" width="42" hidden="0" customWidth="1"/>
    <x:col min="10" max="10" width="46" hidden="0" customWidth="1"/>
    <x:col min="11" max="11" width="18" hidden="0" customWidth="1"/>
    <x:col min="12" max="12" width="38" hidden="0" customWidth="1"/>
    <x:col min="13" max="13" width="10" hidden="0" customWidth="1"/>
    <x:col min="14" max="14" width="14" hidden="0" customWidth="1"/>
    <x:col min="15" max="15" width="12" hidden="0" customWidth="1"/>
    <x:col min="16" max="16" width="28" hidden="0" customWidth="1"/>
  </x:cols>
  <x:sheetData>
    <x:row r="1" ht="34" customHeight="1">
      <x:c r="A1" s="1911" t="str">
        <x:v>vLLM 上游功能 / 接口适配管理表</x:v>
      </x:c>
      <x:c r="B1" s="1911"/>
      <x:c r="C1" s="1911"/>
      <x:c r="D1" s="1911"/>
      <x:c r="E1" s="1911"/>
      <x:c r="F1" s="1911"/>
      <x:c r="G1" s="1911"/>
      <x:c r="H1" s="1911"/>
      <x:c r="I1" s="1911"/>
      <x:c r="J1" s="1911"/>
      <x:c r="K1" s="1911"/>
      <x:c r="L1" s="1911"/>
      <x:c r="M1" s="1911"/>
      <x:c r="N1" s="1911"/>
      <x:c r="O1" s="1911"/>
      <x:c r="P1" s="1911"/>
    </x:row>
    <x:row r="2" ht="42" customHeight="1">
      <x:c r="A2" s="1912" t="str">
        <x:v>时间窗：[2026-09-21 01:02:04.840, 2026-09-22 01:00:58.960) Asia/Hong_Kong；纳入11条新增能力、接口或职责边界变化。性能收益另见优化页。</x:v>
      </x:c>
      <x:c r="B2" s="1912"/>
      <x:c r="C2" s="1912"/>
      <x:c r="D2" s="1912"/>
      <x:c r="E2" s="1912"/>
      <x:c r="F2" s="1912"/>
      <x:c r="G2" s="1912"/>
      <x:c r="H2" s="1912"/>
      <x:c r="I2" s="1912"/>
      <x:c r="J2" s="1912"/>
      <x:c r="K2" s="1912"/>
      <x:c r="L2" s="1912"/>
      <x:c r="M2" s="1912"/>
      <x:c r="N2" s="1912"/>
      <x:c r="O2" s="1912"/>
      <x:c r="P2" s="1912"/>
    </x:row>
    <x:row r="4" ht="48" customHeight="1">
      <x:c r="A4" s="1913" t="str">
        <x:v>记录ID</x:v>
      </x:c>
      <x:c r="B4" s="1913" t="str">
        <x:v>PR</x:v>
      </x:c>
      <x:c r="C4" s="1913" t="str">
        <x:v>合入时间</x:v>
      </x:c>
      <x:c r="D4" s="1913" t="str">
        <x:v>标题</x:v>
      </x:c>
      <x:c r="E4" s="1913" t="str">
        <x:v>分类</x:v>
      </x:c>
      <x:c r="F4" s="1913" t="str">
        <x:v>解决的问题</x:v>
      </x:c>
      <x:c r="G4" s="1913" t="str">
        <x:v>上游方案</x:v>
      </x:c>
      <x:c r="H4" s="1913" t="str">
        <x:v>修改原因</x:v>
      </x:c>
      <x:c r="I4" s="1913" t="str">
        <x:v>关键文件</x:v>
      </x:c>
      <x:c r="J4" s="1913" t="str">
        <x:v>Ascend有效关系</x:v>
      </x:c>
      <x:c r="K4" s="1913" t="str">
        <x:v>Ascend结论</x:v>
      </x:c>
      <x:c r="L4" s="1913" t="str">
        <x:v>建议动作</x:v>
      </x:c>
      <x:c r="M4" s="1913" t="str">
        <x:v>优先级</x:v>
      </x:c>
      <x:c r="N4" s="1913" t="str">
        <x:v>状态</x:v>
      </x:c>
      <x:c r="O4" s="1913" t="str">
        <x:v>第一责任人</x:v>
      </x:c>
      <x:c r="P4" s="1913" t="str">
        <x:v>PR证据</x:v>
      </x:c>
    </x:row>
    <x:row r="5" ht="133.5" customHeight="1">
      <x:c r="A5" s="1910" t="str">
        <x:v>FEAT-51052</x:v>
      </x:c>
      <x:c r="B5" s="1910" t="str">
        <x:v>#51052</x:v>
      </x:c>
      <x:c r="C5" s="1914" t="n">
        <x:v>46286.22956018519</x:v>
      </x:c>
      <x:c r="D5" s="1910" t="str">
        <x:v>[KVConnector][MoRIIO] Transfer hybrid mamba/KDA recurrent state in READ mode</x:v>
      </x:c>
      <x:c r="E5" s="1910" t="str">
        <x:v>混合Mamba PD状态传输</x:v>
      </x:c>
      <x:c r="F5" s="1907" t="str">
        <x:v>MoRIIO READ只传注意力KV，混合Mamba/KDA解码缺少递归状态。</x:v>
      </x:c>
      <x:c r="G5" s="1907" t="str">
        <x:v>分别注册conv/SSM区域，传每组block ID，等待所有READ完成并对不支持配置显式失败。</x:v>
      </x:c>
      <x:c r="H5" s="1907" t="str">
        <x:v>递归状态需要与KV一起传输；仅同TP、READ、无投机范围，不能用单组故障恢复代替。</x:v>
      </x:c>
      <x:c r="I5" s="1907" t="str">
        <x:v>vllm/distributed/kv_transfer/kv_connector/v1/moriio/moriio_common.py; vllm/distributed/kv_transfer/kv_connector/v1/moriio/moriio_connector.py; vllm/distributed/kv_transfer/kv_connector/v1/moriio/moriio_engine.py; vllm/distributed/kv_transfer/kv_connector/v1/moriio/moriio_layout.py; examples/disaggregated/disaggregated_serving/moriio_toy_proxy_server.py; tests/v1/kv_connector/unit/test_moriio_connector.py</x:v>
      </x:c>
      <x:c r="J5" s="1907" t="str">
        <x:v>新增MoRIIO READ传输conv/SSM；Ascend主线PD使用Mooncake/HCCL等自有连接器，不调用AMD MoRIIO注册区域。</x:v>
      </x:c>
      <x:c r="K5" s="1910" t="str">
        <x:v>当前不适用</x:v>
      </x:c>
      <x:c r="L5" s="1910" t="str">
        <x:v>可借鉴按cache group传递递归状态并等待全部READ的协议；若NPU开展混合PD，需要单独实现且先验证同TP、无投机边界。</x:v>
      </x:c>
      <x:c r="M5" s="1910" t="str">
        <x:v>P3</x:v>
      </x:c>
      <x:c r="N5" s="1910" t="str">
        <x:v>静态闭环</x:v>
      </x:c>
      <x:c r="O5" s="1910" t="str">
        <x:v>周学荣</x:v>
      </x:c>
      <x:c r="P5" s="1907" t="str">
        <x:v>https://github.com/vllm-project/vllm/pull/51052</x:v>
      </x:c>
    </x:row>
    <x:row r="6" ht="70" customHeight="1">
      <x:c r="A6" s="1854" t="str">
        <x:v>FEAT-57491</x:v>
      </x:c>
      <x:c r="B6" s="1854" t="str">
        <x:v>#57491</x:v>
      </x:c>
      <x:c r="C6" s="1915" t="n">
        <x:v>46286.428611111114</x:v>
      </x:c>
      <x:c r="D6" s="1854" t="str">
        <x:v>[ROCm][DSv4.1] Keep the Engram tables in host memory on ROCm</x:v>
      </x:c>
      <x:c r="E6" s="1854" t="str">
        <x:v>ROCm Engram host offload</x:v>
      </x:c>
      <x:c r="F6" s="1856" t="str">
        <x:v>ROCm的CUDA专用开关阻止Engram host offload，表占用大量显存。</x:v>
      </x:c>
      <x:c r="G6" s="1856" t="str">
        <x:v>将门禁扩为is_cuda_alike并在AMD模型复用Engram host实现。</x:v>
      </x:c>
      <x:c r="H6" s="1856" t="str">
        <x:v>HIP已有host映射能力；主要提升KV容量，吞吐实测基本持平。</x:v>
      </x:c>
      <x:c r="I6" s="1856" t="str">
        <x:v>vllm/config/engram.py; vllm/config/vllm.py; vllm/models/deepseek_v41/amd/model.py; tests/kernels/test_engram.py; tests/test_config.py</x:v>
      </x:c>
      <x:c r="J6" s="1856" t="str">
        <x:v>NPU自有HostUvaBuffer用aclrtHostRegisterV2/aclrtHostGetDevicePointer映射host表，早已具备同类host offload；此次HIP门禁不带来新增NPU容量。</x:v>
      </x:c>
      <x:c r="K6" s="1854" t="str">
        <x:v>当前不适用</x:v>
      </x:c>
      <x:c r="L6" s="1854" t="str">
        <x:v>保留NPU映射/INT8与scale布局；回归host表容量、访问正确性和pin生命周期，不重复计量上游ROCm节省。</x:v>
      </x:c>
      <x:c r="M6" s="1854" t="str">
        <x:v>P3</x:v>
      </x:c>
      <x:c r="N6" s="1854" t="str">
        <x:v>静态闭环</x:v>
      </x:c>
      <x:c r="O6" s="1854" t="str">
        <x:v>王小超</x:v>
      </x:c>
      <x:c r="P6" s="1856" t="str">
        <x:v>https://github.com/vllm-project/vllm/pull/57491</x:v>
      </x:c>
    </x:row>
    <x:row r="7" ht="70" customHeight="1">
      <x:c r="A7" s="1910" t="str">
        <x:v>FEAT-57460</x:v>
      </x:c>
      <x:c r="B7" s="1910" t="str">
        <x:v>#57460</x:v>
      </x:c>
      <x:c r="C7" s="1914" t="n">
        <x:v>46286.42875</x:v>
      </x:c>
      <x:c r="D7" s="1910" t="str">
        <x:v>[Profiler] Unify platform-aware torch profiling</x:v>
      </x:c>
      <x:c r="E7" s="1910" t="str">
        <x:v>Profiler配置及生命周期</x:v>
      </x:c>
      <x:c r="F7" s="1907" t="str">
        <x:v>torch profiler对象一次性复用导致多轮采集失效，各平台配置与注解行为不一致。</x:v>
      </x:c>
      <x:c r="G7" s="1907" t="str">
        <x:v>每轮新建torch profiler，统一worker工厂/活动校验，仅记录CPU活动时生成注解。</x:v>
      </x:c>
      <x:c r="H7" s="1907" t="str">
        <x:v>将生命周期、平台能力与注解成本分开；NPU自有wrapper不自动得到所有改动。</x:v>
      </x:c>
      <x:c r="I7" s="1907" t="str">
        <x:v>vllm/config/profiler.py; vllm/profiler/wrapper.py; vllm/v1/engine/async_llm.py; vllm/v1/worker/cpu_worker.py; vllm/v1/worker/gpu_worker.py; vllm/v1/worker/xpu_worker.py</x:v>
      </x:c>
      <x:c r="J7" s="1907" t="str">
        <x:v>TorchNPUProfilerWrapper自建torch_npu.profiler.profile一次并反复start/stop，没有继承上游TorchProfilerWrapper重建逻辑；但torch_npu是否同样不可重启尚无运行证据，不能认定同一缺陷已复现。</x:v>
      </x:c>
      <x:c r="K7" s="1910" t="str">
        <x:v>需要适配</x:v>
      </x:c>
      <x:c r="L7" s="1910" t="str">
        <x:v>NPU wrapper应显式实现或拒绝新增activities配置，核对should_annotate与CPU采集联动；用torch_npu能力表而非上游cpu/cuda/xpu工厂，重启问题先实测。</x:v>
      </x:c>
      <x:c r="M7" s="1910" t="str">
        <x:v>P1</x:v>
      </x:c>
      <x:c r="N7" s="1910" t="str">
        <x:v>待适配</x:v>
      </x:c>
      <x:c r="O7" s="1910" t="str">
        <x:v>刘逸舟</x:v>
      </x:c>
      <x:c r="P7" s="1907" t="str">
        <x:v>https://github.com/vllm-project/vllm/pull/57460</x:v>
      </x:c>
    </x:row>
    <x:row r="8" ht="79.5" customHeight="1">
      <x:c r="A8" s="1854" t="str">
        <x:v>FEAT-57783</x:v>
      </x:c>
      <x:c r="B8" s="1854" t="str">
        <x:v>#57783</x:v>
      </x:c>
      <x:c r="C8" s="1915" t="n">
        <x:v>46286.53208333333</x:v>
      </x:c>
      <x:c r="D8" s="1854" t="str">
        <x:v>[Core][KDA] Generalize Mamba prefill checkpoint builder and exporter</x:v>
      </x:c>
      <x:c r="E8" s="1854" t="str">
        <x:v>Mamba checkpoint通用接口</x:v>
      </x:c>
      <x:c r="F8" s="1856" t="str">
        <x:v>KDA内嵌的prefill checkpoint逻辑不便与其他Mamba后端共享。</x:v>
      </x:c>
      <x:c r="G8" s="1856" t="str">
        <x:v>抽取通用位置/元数据builder及抽象exporter，FlashKDA另实现状态导出。</x:v>
      </x:c>
      <x:c r="H8" s="1856" t="str">
        <x:v>统一调度对齐和状态写入契约；本次是职责抽取，没有性能A/B。</x:v>
      </x:c>
      <x:c r="I8" s="1856" t="str">
        <x:v>vllm/model_executor/layers/mamba/checkpoint.py; vllm/model_executor/layers/mamba/kda_checkpoint.py; vllm/models/kimi_k3/nvidia/kda.py; vllm/models/kimi_k3/nvidia/kda_metadata.py; tests/models/kimi_k3/test_kda.py</x:v>
      </x:c>
      <x:c r="J8" s="1856" t="str">
        <x:v>NPU KimiK3使用自有KDA实现而非上游FlashKDA exporter，新增通用builder不会自动接入；已有NPU Mamba调度patch需保持分配/写入一致。</x:v>
      </x:c>
      <x:c r="K8" s="1854" t="str">
        <x:v>待POC</x:v>
      </x:c>
      <x:c r="L8" s="1854" t="str">
        <x:v>核对num_prefill_checkpoint_blocks是否为零；若启用，按NPU conv/SSM布局实现exporter，覆盖chunk边界、Eagle drop和prefix复用。</x:v>
      </x:c>
      <x:c r="M8" s="1854" t="str">
        <x:v>P3</x:v>
      </x:c>
      <x:c r="N8" s="1854" t="str">
        <x:v>待POC</x:v>
      </x:c>
      <x:c r="O8" s="1854" t="str">
        <x:v>龙钢</x:v>
      </x:c>
      <x:c r="P8" s="1856" t="str">
        <x:v>https://github.com/vllm-project/vllm/pull/57783</x:v>
      </x:c>
    </x:row>
    <x:row r="9" ht="79.5" customHeight="1">
      <x:c r="A9" s="1910" t="str">
        <x:v>FEAT-57651</x:v>
      </x:c>
      <x:c r="B9" s="1910" t="str">
        <x:v>#57651</x:v>
      </x:c>
      <x:c r="C9" s="1914" t="n">
        <x:v>46286.68537037037</x:v>
      </x:c>
      <x:c r="D9" s="1910" t="str">
        <x:v>[Model][Engram] Share host tables across co-located DP replicas by default</x:v>
      </x:c>
      <x:c r="E9" s="1910" t="str">
        <x:v>Engram共享内存自动配置</x:v>
      </x:c>
      <x:c r="F9" s="1907" t="str">
        <x:v>同节点DP Engram共享需手动启用，条件不足时直接失败。</x:v>
      </x:c>
      <x:c r="G9" s="1907" t="str">
        <x:v>dp_shared_memory改为自动解析，按节点与/dev/shm容量回退head sharding，移除无必要load_format限制。</x:v>
      </x:c>
      <x:c r="H9" s="1907" t="str">
        <x:v>减少重复host表并使默认配置可运行；Ascend节点分片方案不同。</x:v>
      </x:c>
      <x:c r="I9" s="1907" t="str">
        <x:v>vllm/config/engram.py; vllm/config/vllm.py; vllm/models/deepseek_v41/nvidia/engram.py; vllm/models/deepseek_v41/nvidia/model.py; tests/distributed/test_engram_dp_shard.py; tests/engine/test_arg_utils.py</x:v>
      </x:c>
      <x:c r="J9" s="1907" t="str">
        <x:v>NPU自有NodeShardedEngram按节点分片，一rank一份无DP重复。patch_engram_config.verify_model_config拒绝显式共享开关，但上游新resolve_dp_shared_memory在verify后运行，auto None可后续变True；NPU不消费该GPU选项。</x:v>
      </x:c>
      <x:c r="K9" s="1910" t="str">
        <x:v>需要适配</x:v>
      </x:c>
      <x:c r="L9" s="1910" t="str">
        <x:v>明确NPU自动解析为自身分片能力或False，并统一后续校验顺序/用户提示；不能声称auto启动一定先抛错。验证DP&gt;1、单/多节点、显式True/False/None及host容量。</x:v>
      </x:c>
      <x:c r="M9" s="1910" t="str">
        <x:v>P1</x:v>
      </x:c>
      <x:c r="N9" s="1910" t="str">
        <x:v>待适配</x:v>
      </x:c>
      <x:c r="O9" s="1910" t="str">
        <x:v>王小超</x:v>
      </x:c>
      <x:c r="P9" s="1907" t="str">
        <x:v>https://github.com/vllm-project/vllm/pull/57651</x:v>
      </x:c>
    </x:row>
    <x:row r="10" ht="70" customHeight="1">
      <x:c r="A10" s="1854" t="str">
        <x:v>FEAT-54535</x:v>
      </x:c>
      <x:c r="B10" s="1854" t="str">
        <x:v>#54535</x:v>
      </x:c>
      <x:c r="C10" s="1915" t="n">
        <x:v>46286.69341435185</x:v>
      </x:c>
      <x:c r="D10" s="1854" t="str">
        <x:v>[AMD][Minimax-M3][perf] Enable packed LBHNC AITER QK-norm fusion for MiniMax-M3 on ROCm</x:v>
      </x:c>
      <x:c r="E10" s="1854" t="str">
        <x:v>MiniMax-M3 FP8稀疏能力</x:v>
      </x:c>
      <x:c r="F10" s="1856" t="str">
        <x:v>MiniMax-M3 ROCm稀疏路径未覆盖packed LBHNC的融合QK norm和FP8 index_q。</x:v>
      </x:c>
      <x:c r="G10" s="1856" t="str">
        <x:v>接入AITER四路QK融合、SHUFFLE span和FP8能力探测，不满足则回退。</x:v>
      </x:c>
      <x:c r="H10" s="1856" t="str">
        <x:v>减少norm和cast中间开销；AITER能力和缓存布局是硬件专用边界。</x:v>
      </x:c>
      <x:c r="I10" s="1856" t="str">
        <x:v>vllm/_aiter_ops.py; vllm/models/minimax_m3/amd/model.py; tests/kernels/attention/test_minimax_m3.py</x:v>
      </x:c>
      <x:c r="J10" s="1856" t="str">
        <x:v>新增AITER packed LBHNC/SHUFFLE和FP8 index_q针对gfx950；NPU注册自有MiniMax-M3稀疏准备与norm，不使用该缓存布局。</x:v>
      </x:c>
      <x:c r="K10" s="1854" t="str">
        <x:v>当前不适用</x:v>
      </x:c>
      <x:c r="L10" s="1854" t="str">
        <x:v>NPU按自身量化格式与缓存契约设计能力门禁；四路norm融合可借鉴但不能直接开启AITER backend。</x:v>
      </x:c>
      <x:c r="M10" s="1854" t="str">
        <x:v>P3</x:v>
      </x:c>
      <x:c r="N10" s="1854" t="str">
        <x:v>静态闭环</x:v>
      </x:c>
      <x:c r="O10" s="1854" t="str">
        <x:v>王锟鹏</x:v>
      </x:c>
      <x:c r="P10" s="1856" t="str">
        <x:v>https://github.com/vllm-project/vllm/pull/54535</x:v>
      </x:c>
    </x:row>
    <x:row r="11" ht="79.5" customHeight="1">
      <x:c r="A11" s="1910" t="str">
        <x:v>FEAT-45635</x:v>
      </x:c>
      <x:c r="B11" s="1910" t="str">
        <x:v>#45635</x:v>
      </x:c>
      <x:c r="C11" s="1914" t="n">
        <x:v>46286.76741898148</x:v>
      </x:c>
      <x:c r="D11" s="1910" t="str">
        <x:v>[AuxOutput] Add block-keyed storage for routed-expert outputs</x:v>
      </x:c>
      <x:c r="E11" s="1910" t="str">
        <x:v>Routed-experts输出接口</x:v>
      </x:c>
      <x:c r="F11" s="1907" t="str">
        <x:v>请求局部R3缓冲无法稳定处理prefix命中、物理槽复用、投机拒绝和异步输出。</x:v>
      </x:c>
      <x:c r="G11" s="1907" t="str">
        <x:v>引入AuxOutput Connector，以KV哈希保存不可变R3块，在异步输出流复制并发布到有界SHM。</x:v>
      </x:c>
      <x:c r="H11" s="1907" t="str">
        <x:v>将逻辑token归属与存储生命周期解耦；保留API但替换内部类型/初始化方法，需适配NPU。</x:v>
      </x:c>
      <x:c r="I11" s="1907" t="str">
        <x:v>vllm/config/__init__.py; vllm/config/aux_output.py; vllm/config/model.py; vllm/config/vllm.py; vllm/distributed/aux_output_connector/__init__.py; vllm/distributed/aux_output_connector/connector.py</x:v>
      </x:c>
      <x:c r="J11" s="1907" t="str">
        <x:v>Ascend V1仍从vllm.v1.outputs导入已删除RoutedExpertsLists/Tensors，V1/V2仍调用已删除init_routed_experts_capturer；自有capture patch含DP/SP切片。新AuxOutput Connector没有自动接入自有初始化链。</x:v>
      </x:c>
      <x:c r="K11" s="1910" t="str">
        <x:v>需要适配</x:v>
      </x:c>
      <x:c r="L11" s="1910" t="str">
        <x:v>迁移V1/V2类型、AuxOutput初始化/begin_step/prepare_output及pending输出，保留NPU DP/SP切片和流生命周期；先过import/初始化再验证prefix命中、拒绝采样及SHM回收。</x:v>
      </x:c>
      <x:c r="M11" s="1910" t="str">
        <x:v>P1</x:v>
      </x:c>
      <x:c r="N11" s="1910" t="str">
        <x:v>待适配</x:v>
      </x:c>
      <x:c r="O11" s="1910" t="str">
        <x:v>温捷</x:v>
      </x:c>
      <x:c r="P11" s="1907" t="str">
        <x:v>https://github.com/vllm-project/vllm/pull/45635</x:v>
      </x:c>
    </x:row>
    <x:row r="12" ht="70" customHeight="1">
      <x:c r="A12" s="1854" t="str">
        <x:v>FEAT-57913</x:v>
      </x:c>
      <x:c r="B12" s="1854" t="str">
        <x:v>#57913</x:v>
      </x:c>
      <x:c r="C12" s="1915" t="n">
        <x:v>46286.94662037037</x:v>
      </x:c>
      <x:c r="D12" s="1854" t="str">
        <x:v>[MM] Move `supports_multimodal_inputs` and cache out of registry</x:v>
      </x:c>
      <x:c r="E12" s="1854" t="str">
        <x:v>多模态registry/cache拆包</x:v>
      </x:c>
      <x:c r="F12" s="1856" t="str">
        <x:v>MM_REGISTRY同时负责能力判断和缓存构造，职责耦合且缓存类混在单文件。</x:v>
      </x:c>
      <x:c r="G12" s="1856" t="str">
        <x:v>能力判断移到ModelConfig，缓存拆包并更名，调用点改用factory。</x:v>
      </x:c>
      <x:c r="H12" s="1856" t="str">
        <x:v>减少registry依赖并保留缓存语义；旧直接import/调用需检查兼容。</x:v>
      </x:c>
      <x:c r="I12" s="1856" t="str">
        <x:v>vllm/config/model.py; vllm/multimodal/cache.py; vllm/multimodal/cache/__init__.py; vllm/multimodal/cache/base.py; vllm/multimodal/cache/factories.py; vllm/multimodal/cache/lru.py</x:v>
      </x:c>
      <x:c r="J12" s="1856" t="str">
        <x:v>NPU生产路径未发现旧registry能力方法/缓存类调用；但tests/ut/spec_decode/test_eagle_proposer.py多处patch和hasattr仍指向已删除MultiModalRegistry.supports_multimodal_inputs，会在UT装配失败。</x:v>
      </x:c>
      <x:c r="K12" s="1854" t="str">
        <x:v>需要适配</x:v>
      </x:c>
      <x:c r="L12" s="1854" t="str">
        <x:v>将单测替身改为ModelConfig.supports_multimodal_inputs的新契约，保留返回值语义；生产多模态接收/cache factory做最小回归，不能把测试断点说成已证实生产崩溃。</x:v>
      </x:c>
      <x:c r="M12" s="1854" t="str">
        <x:v>P1</x:v>
      </x:c>
      <x:c r="N12" s="1854" t="str">
        <x:v>待适配</x:v>
      </x:c>
      <x:c r="O12" s="1854" t="str">
        <x:v>龙钢</x:v>
      </x:c>
      <x:c r="P12" s="1856" t="str">
        <x:v>https://github.com/vllm-project/vllm/pull/57913</x:v>
      </x:c>
    </x:row>
    <x:row r="13" ht="93" customHeight="1">
      <x:c r="A13" s="1910" t="str">
        <x:v>FEAT-52362</x:v>
      </x:c>
      <x:c r="B13" s="1910" t="str">
        <x:v>#52362</x:v>
      </x:c>
      <x:c r="C13" s="1914" t="n">
        <x:v>46286.96090277778</x:v>
      </x:c>
      <x:c r="D13" s="1910" t="str">
        <x:v>[ROCm][DSv4] Enable DSpark adaptive verification</x:v>
      </x:c>
      <x:c r="E13" s="1910" t="str">
        <x:v>DSpark自适应验证</x:v>
      </x:c>
      <x:c r="F13" s="1907" t="str">
        <x:v>ROCm DSpark缺少confidence head和设备边界驱动的变长验证链。</x:v>
      </x:c>
      <x:c r="G13" s="1907" t="str">
        <x:v>增加confidence加载/计算，开启受限的变长FULL图metadata及indexer flatten。</x:v>
      </x:c>
      <x:c r="H13" s="1907" t="str">
        <x:v>动态分配draft预算提高高并发吞吐；低并发存在退化，不能全局宣称加速。</x:v>
      </x:c>
      <x:c r="I13" s="1907" t="str">
        <x:v>vllm/models/deepseek_v4/amd/dspark.py; vllm/models/deepseek_v4/amd/rocm.py; vllm/v1/attention/backends/mla/indexer.py; tests/kernels/attention/test_rocm_triton_attn_dsv4.py; tests/models/test_deepseek_v4_dspark_rocm.py; tests/v1/attention/test_deepseek_v4_rocm_adaptive.py</x:v>
      </x:c>
      <x:c r="J13" s="1907" t="str">
        <x:v>Ascend DSpark已有confidence_head构造、checkpoint remap与compute_confidence；新增AMD变长FULL图/indexer链不会自动证明NPU ragged metadata兼容。</x:v>
      </x:c>
      <x:c r="K13" s="1910" t="str">
        <x:v>待POC</x:v>
      </x:c>
      <x:c r="L13" s="1910" t="str">
        <x:v>逐项核对NPU自适应draft预算、变长验证和ACLgraph能力；比较固定K与自适应在低/高并发的接受率、吞吐及尾延迟。</x:v>
      </x:c>
      <x:c r="M13" s="1910" t="str">
        <x:v>P3</x:v>
      </x:c>
      <x:c r="N13" s="1910" t="str">
        <x:v>待POC</x:v>
      </x:c>
      <x:c r="O13" s="1910" t="str">
        <x:v>李泽桐</x:v>
      </x:c>
      <x:c r="P13" s="1907" t="str">
        <x:v>https://github.com/vllm-project/vllm/pull/52362</x:v>
      </x:c>
    </x:row>
    <x:row r="14" ht="93" customHeight="1">
      <x:c r="A14" s="1854" t="str">
        <x:v>FEAT-57967</x:v>
      </x:c>
      <x:c r="B14" s="1854" t="str">
        <x:v>#57967</x:v>
      </x:c>
      <x:c r="C14" s="1915" t="n">
        <x:v>46287.02732638889</x:v>
      </x:c>
      <x:c r="D14" s="1854" t="str">
        <x:v>[MM] Move get_dummy_processor_inputs into MM processor</x:v>
      </x:c>
      <x:c r="E14" s="1854" t="str">
        <x:v>Dummy processor职责调整</x:v>
      </x:c>
      <x:c r="F14" s="1856" t="str">
        <x:v>dummy builder反向调用MM processor形成循环职责。</x:v>
      </x:c>
      <x:c r="G14" s="1856" t="str">
        <x:v>get_dummy_processor_inputs移入processor，更新模型特化与测试入口。</x:v>
      </x:c>
      <x:c r="H14" s="1856" t="str">
        <x:v>由processor统一合成占位输入，避免builder与processor循环关系。</x:v>
      </x:c>
      <x:c r="I14" s="1856" t="str">
        <x:v>vllm/model_executor/models/hyperclovax_vision_v2.py; vllm/model_executor/models/kimi_audio.py; vllm/model_executor/models/moss_transcribe_diarize.py; vllm/model_executor/models/pixtral.py; vllm/model_executor/models/voxtral.py; vllm/multimodal/processing/dummy_inputs.py</x:v>
      </x:c>
      <x:c r="J14" s="1856" t="str">
        <x:v>Ascend源码与测试未引用被移走get_dummy_processor_inputs旧入口；共享processor创建占位输入，NPU模型专用dummy builder保留其原接口。</x:v>
      </x:c>
      <x:c r="K14" s="1854" t="str">
        <x:v>理论直接继承</x:v>
      </x:c>
      <x:c r="L14" s="1854" t="str">
        <x:v>对NPU已支持图像/音频模型做最大token profile及dummy生成回归，检查多模态预算和启动内存；未发现确定需改调用点。</x:v>
      </x:c>
      <x:c r="M14" s="1854" t="str">
        <x:v>P2</x:v>
      </x:c>
      <x:c r="N14" s="1854" t="str">
        <x:v>待回归</x:v>
      </x:c>
      <x:c r="O14" s="1854" t="str">
        <x:v>龙钢</x:v>
      </x:c>
      <x:c r="P14" s="1856" t="str">
        <x:v>https://github.com/vllm-project/vllm/pull/57967</x:v>
      </x:c>
    </x:row>
    <x:row r="15" ht="79.5" customHeight="1">
      <x:c r="A15" s="1910" t="str">
        <x:v>FEAT-53423</x:v>
      </x:c>
      <x:c r="B15" s="1910" t="str">
        <x:v>#53423</x:v>
      </x:c>
      <x:c r="C15" s="1914" t="n">
        <x:v>46287.03902777778</x:v>
      </x:c>
      <x:c r="D15" s="1910" t="str">
        <x:v>[Feature] Add first-class KV hints request envelope for programmatic KV management</x:v>
      </x:c>
      <x:c r="E15" s="1910" t="str">
        <x:v>KV hints协议透传</x:v>
      </x:c>
      <x:c r="F15" s="1907" t="str">
        <x:v>程序化KV管理缺少跨Python/Rust和HTTP/gRPC的类型化请求提示载体。</x:v>
      </x:c>
      <x:c r="G15" s="1907" t="str">
        <x:v>增加KvHintsEnvelope/Action并贯通AsyncLLM、EngineCoreRequest、Request与Rust序列化。</x:v>
      </x:c>
      <x:c r="H15" s="1907" t="str">
        <x:v>先建立协议和透传，本次不执行具体hint动作，不能记为已实现KV收益。</x:v>
      </x:c>
      <x:c r="I15" s="1907" t="str">
        <x:v>vllm/distributed/kv_transfer/kv_connector/v1/offloading/scheduler.py; vllm/engine/protocol.py; vllm/v1/engine/__init__.py; vllm/v1/engine/async_llm.py; vllm/v1/engine/input_processor.py; vllm/v1/engine/llm_engine.py</x:v>
      </x:c>
      <x:c r="J15" s="1907" t="str">
        <x:v>Python共享AsyncLLM/EngineCoreRequest/Request新增可选字段，当前NPU没有同名字段覆盖；Rust为可选前端，不意味着NPU执行hint。</x:v>
      </x:c>
      <x:c r="K15" s="1910" t="str">
        <x:v>理论直接继承</x:v>
      </x:c>
      <x:c r="L15" s="1910" t="str">
        <x:v>回归默认空值和序列化透传；明确本PR无动作执行器，不向用户承诺驱逐/预取能力，Rust部署另做协议兼容。</x:v>
      </x:c>
      <x:c r="M15" s="1910" t="str">
        <x:v>P2</x:v>
      </x:c>
      <x:c r="N15" s="1910" t="str">
        <x:v>待回归</x:v>
      </x:c>
      <x:c r="O15" s="1910" t="str">
        <x:v>曾彦嘉</x:v>
      </x:c>
      <x:c r="P15" s="1907" t="str">
        <x:v>https://github.com/vllm-project/vllm/pull/53423</x:v>
      </x:c>
    </x:row>
    <x:row r="16" ht="93" customHeight="1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</x:row>
    <x:row r="17" ht="106.5" customHeight="1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</x:row>
    <x:row r="18" ht="79.5" customHeight="1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</x:row>
    <x:row r="19" ht="79.5" customHeight="1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 ht="70" customHeight="1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 ht="120" customHeight="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 ht="79.5" customHeight="1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 ht="120" customHeight="1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 ht="93" customHeight="1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 ht="93" customHeight="1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 ht="70" customHeight="1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 ht="70" customHeight="1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</x:sheetData>
  <x:mergeCells>
    <x:mergeCell ref="A1:P1"/>
    <x:mergeCell ref="A2:P2"/>
  </x:mergeCells>
  <x:conditionalFormatting sqref="K5:K14">
    <x:cfRule type="containsText" dxfId="29" priority="1" operator="containsText" text="需要适配"/>
    <x:cfRule type="containsText" dxfId="30" priority="2" operator="containsText" text="直接继承"/>
    <x:cfRule type="containsText" dxfId="59" priority="7" operator="containsText" text="需要适配"/>
    <x:cfRule type="containsText" dxfId="60" priority="8" operator="containsText" text="直接继承"/>
    <x:cfRule type="containsText" dxfId="189" priority="33" operator="containsText" text="需要适配"/>
    <x:cfRule type="containsText" dxfId="190" priority="34" operator="containsText" text="直接继承"/>
  </x:conditionalFormatting>
  <x:conditionalFormatting sqref="K5:K15">
    <x:cfRule type="containsText" dxfId="39" priority="3" operator="containsText" text="需要适配"/>
    <x:cfRule type="containsText" dxfId="40" priority="4" operator="containsText" text="直接继承"/>
    <x:cfRule type="containsText" dxfId="199" priority="35" operator="containsText" text="需要适配"/>
    <x:cfRule type="containsText" dxfId="200" priority="36" operator="containsText" text="直接继承"/>
  </x:conditionalFormatting>
  <x:conditionalFormatting sqref="K5:K13">
    <x:cfRule type="containsText" dxfId="49" priority="5" operator="containsText" text="需要适配"/>
    <x:cfRule type="containsText" dxfId="50" priority="6" operator="containsText" text="直接继承"/>
  </x:conditionalFormatting>
  <x:conditionalFormatting sqref="K5:K17">
    <x:cfRule type="containsText" dxfId="69" priority="9" operator="containsText" text="需要适配"/>
    <x:cfRule type="containsText" dxfId="70" priority="10" operator="containsText" text="直接继承"/>
  </x:conditionalFormatting>
  <x:conditionalFormatting sqref="K5:K21">
    <x:cfRule type="containsText" dxfId="79" priority="11" operator="containsText" text="需要适配"/>
    <x:cfRule type="containsText" dxfId="80" priority="12" operator="containsText" text="直接继承"/>
    <x:cfRule type="containsText" dxfId="139" priority="23" operator="containsText" text="需要适配"/>
    <x:cfRule type="containsText" dxfId="140" priority="24" operator="containsText" text="直接继承"/>
  </x:conditionalFormatting>
  <x:conditionalFormatting sqref="K5:K23">
    <x:cfRule type="containsText" dxfId="89" priority="13" operator="containsText" text="需要适配"/>
    <x:cfRule type="containsText" dxfId="90" priority="14" operator="containsText" text="直接继承"/>
    <x:cfRule type="containsText" dxfId="129" priority="21" operator="containsText" text="需要适配"/>
    <x:cfRule type="containsText" dxfId="130" priority="22" operator="containsText" text="直接继承"/>
  </x:conditionalFormatting>
  <x:conditionalFormatting sqref="K5:K26">
    <x:cfRule type="containsText" dxfId="99" priority="15" operator="containsText" text="需要适配"/>
    <x:cfRule type="containsText" dxfId="100" priority="16" operator="containsText" text="直接继承"/>
    <x:cfRule type="containsText" dxfId="159" priority="27" operator="containsText" text="需要适配"/>
    <x:cfRule type="containsText" dxfId="160" priority="28" operator="containsText" text="直接继承"/>
  </x:conditionalFormatting>
  <x:conditionalFormatting sqref="K5:K22">
    <x:cfRule type="containsText" dxfId="109" priority="17" operator="containsText" text="需要适配"/>
    <x:cfRule type="containsText" dxfId="110" priority="18" operator="containsText" text="直接继承"/>
  </x:conditionalFormatting>
  <x:conditionalFormatting sqref="K5:K18">
    <x:cfRule type="containsText" dxfId="119" priority="19" operator="containsText" text="需要适配"/>
    <x:cfRule type="containsText" dxfId="120" priority="20" operator="containsText" text="直接继承"/>
  </x:conditionalFormatting>
  <x:conditionalFormatting sqref="K5:K27">
    <x:cfRule type="containsText" dxfId="149" priority="25" operator="containsText" text="需要适配"/>
    <x:cfRule type="containsText" dxfId="150" priority="26" operator="containsText" text="直接继承"/>
  </x:conditionalFormatting>
  <x:conditionalFormatting sqref="K5:K19">
    <x:cfRule type="containsText" dxfId="169" priority="29" operator="containsText" text="需要适配"/>
    <x:cfRule type="containsText" dxfId="170" priority="30" operator="containsText" text="直接继承"/>
  </x:conditionalFormatting>
  <x:conditionalFormatting sqref="K5:K10">
    <x:cfRule type="containsText" dxfId="179" priority="31" operator="containsText" text="需要适配"/>
    <x:cfRule type="containsText" dxfId="180" priority="32" operator="containsText" text="直接继承"/>
  </x:conditionalFormatting>
  <x:pageMargins left="0.7" right="0.7" top="0.75" bottom="0.75" header="0.3" footer="0.3"/>
  <x:tableParts count="1">
    <x:tablePart xmlns:r="http://schemas.openxmlformats.org/officeDocument/2006/relationships" r:id="R78e43a5990e046e8"/>
  </x:tableParts>
</x:worksheet>
</file>