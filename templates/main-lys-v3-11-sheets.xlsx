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ba3ffe120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化点总表" sheetId="1" r:id="Ra84b40b6ad5d4340"/>
    <x:sheet xmlns:r="http://schemas.openxmlformats.org/officeDocument/2006/relationships" name="行动清单(P0-P1)" sheetId="2" r:id="R33cef4d7993a48ba"/>
    <x:sheet xmlns:r="http://schemas.openxmlformats.org/officeDocument/2006/relationships" name="跳过清单" sheetId="3" r:id="R68dd384da8f8443d"/>
    <x:sheet xmlns:r="http://schemas.openxmlformats.org/officeDocument/2006/relationships" name="精确代码复核" sheetId="4" r:id="Rc51b413875394088"/>
    <x:sheet xmlns:r="http://schemas.openxmlformats.org/officeDocument/2006/relationships" name="测试与收益" sheetId="5" r:id="Re6e3dfe31f774e4b"/>
    <x:sheet xmlns:r="http://schemas.openxmlformats.org/officeDocument/2006/relationships" name="Review证据" sheetId="6" r:id="R482de986337b439f"/>
    <x:sheet xmlns:r="http://schemas.openxmlformats.org/officeDocument/2006/relationships" name="流水线与版本" sheetId="7" r:id="Rdd80a67876674b63"/>
    <x:sheet xmlns:r="http://schemas.openxmlformats.org/officeDocument/2006/relationships" name="统计看板" sheetId="8" r:id="R7791019dc1294b26"/>
    <x:sheet xmlns:r="http://schemas.openxmlformats.org/officeDocument/2006/relationships" name="上游Bugfix" sheetId="9" r:id="Ree48089e502c4c86"/>
    <x:sheet xmlns:r="http://schemas.openxmlformats.org/officeDocument/2006/relationships" name="全部PR分析" sheetId="10" r:id="R56ff98a35e424667"/>
    <x:sheet xmlns:r="http://schemas.openxmlformats.org/officeDocument/2006/relationships" name="上游功能接口" sheetId="11" r:id="Rd7c1c321b5d9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yyyy-mm-dd hh:mm"/>
    <x:numFmt numFmtId="203" formatCode="0%"/>
    <x:numFmt numFmtId="204" formatCode="yyyy-mm-dd hh:mm:ss"/>
  </x:numFmts>
  <x:fonts count="41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  <x:font>
      <x:b/>
      <x:sz val="10"/>
      <x:color rgb="FF1F1F1F"/>
      <x:name val="Carlito"/>
    </x:font>
    <x:font>
      <x:b/>
      <x:sz val="12"/>
      <x:color rgb="FF4472C4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b/>
      <x:sz val="9"/>
      <x:color rgb="FF333333"/>
      <x:name val="Carlito"/>
    </x:font>
    <x:font>
      <x:sz val="9"/>
      <x:color rgb="FF333333"/>
      <x:name val="Carlito"/>
    </x:font>
    <x:font>
      <x:b/>
      <x:sz val="11"/>
      <x:color rgb="FF4472C4"/>
      <x:name val="Carlito"/>
    </x:font>
    <x:font>
      <x:sz val="9"/>
      <x:color rgb="FF17365D"/>
      <x:name val="Carlito"/>
    </x:font>
    <x:font>
      <x:b/>
      <x:sz val="9"/>
      <x:color rgb="FF17365D"/>
      <x:name val="Carlito"/>
    </x:font>
    <x:font>
      <x:sz val="9"/>
      <x:color rgb="FF44546A"/>
      <x:name val="Carlito"/>
    </x:font>
    <x:font>
      <x:b/>
      <x:sz val="10"/>
      <x:color rgb="FF17365D"/>
      <x:name val="Carlito"/>
    </x:font>
    <x:font>
      <x:b/>
      <x:sz val="9"/>
      <x:color rgb="FF7F6000"/>
      <x:name val="Carlito"/>
    </x:font>
    <x:font>
      <x:b/>
      <x:sz val="9"/>
      <x:color rgb="FFFFFFFF"/>
      <x:name val="Carlito"/>
    </x:font>
    <x:font>
      <x:b/>
      <x:sz val="10"/>
      <x:color rgb="FF333333"/>
      <x:name val="Carlito"/>
    </x:font>
    <x:font>
      <x:sz val="10"/>
      <x:color rgb="FF333333"/>
      <x:name val="Carlito"/>
    </x:font>
    <x:font>
      <x:b/>
      <x:sz val="11"/>
      <x:color rgb="FF37562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  <x:font>
      <x:sz val="10"/>
      <x:color rgb="FF333333"/>
      <x:name val="Carlito"/>
    </x:font>
  </x:fonts>
  <x:fills count="241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EEF3F8"/>
      </x:patternFill>
    </x:fill>
    <x:fill>
      <x:patternFill patternType="solid">
        <x:fgColor rgb="FFEAF2F8"/>
      </x:patternFill>
    </x:fill>
    <x:fill>
      <x:patternFill patternType="solid">
        <x:fgColor rgb="FFFFC000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7F7F7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DCE6F1"/>
      </x:patternFill>
    </x:fill>
  </x:fills>
  <x:borders count="24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7E6E6"/>
      </x:right>
      <x:top style="thin">
        <x:color rgb="FFB7B7B7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B7B7B7"/>
      </x:top>
      <x:bottom style="thin">
        <x:color rgb="FFD9E2F3"/>
      </x:bottom>
    </x:border>
    <x:border>
      <x:left style="thin">
        <x:color rgb="FFE7E6E6"/>
      </x:left>
      <x:right style="thin">
        <x:color rgb="FFB7B7B7"/>
      </x:right>
      <x:top style="thin">
        <x:color rgb="FFB7B7B7"/>
      </x:top>
      <x:bottom style="thin">
        <x:color rgb="FFD9E2F3"/>
      </x:bottom>
    </x:border>
    <x:border>
      <x:left style="thin">
        <x:color rgb="FFB7B7B7"/>
      </x:left>
      <x:right style="thin">
        <x:color rgb="FFE7E6E6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B7B7B7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7E6E6"/>
      </x:right>
      <x:top style="thin">
        <x:color rgb="FFD9E2F3"/>
      </x:top>
      <x:bottom style="thin">
        <x:color rgb="FFB7B7B7"/>
      </x:bottom>
    </x:border>
    <x:border>
      <x:left style="thin">
        <x:color rgb="FFE7E6E6"/>
      </x:left>
      <x:right style="thin">
        <x:color rgb="FFE7E6E6"/>
      </x:right>
      <x:top style="thin">
        <x:color rgb="FFD9E2F3"/>
      </x:top>
      <x:bottom style="thin">
        <x:color rgb="FFB7B7B7"/>
      </x:bottom>
    </x:border>
    <x:border>
      <x:left style="thin">
        <x:color rgb="FFE7E6E6"/>
      </x:left>
      <x:right style="thin">
        <x:color rgb="FFB7B7B7"/>
      </x:right>
      <x:top style="thin">
        <x:color rgb="FFD9E2F3"/>
      </x:top>
      <x:bottom style="thin">
        <x:color rgb="FFB7B7B7"/>
      </x:bottom>
    </x:border>
  </x:borders>
  <x:cellStyleXfs count="1">
    <x:xf numFmtId="0" fontId="0" fillId="0" borderId="0"/>
  </x:cellStyleXfs>
  <x:cellXfs count="20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6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horizontal="center" vertical="top" wrapText="1"/>
    </x:xf>
    <x:xf numFmtId="200" fontId="4" fillId="6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top" wrapText="1"/>
    </x:xf>
    <x:xf numFmtId="0" fontId="8" fillId="8" borderId="3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8" borderId="8" xfId="0" applyNumberFormat="1" applyFont="1" applyFill="1" applyBorder="1" applyAlignment="1">
      <x:alignment vertical="top" wrapText="1"/>
    </x:xf>
    <x:xf numFmtId="0" fontId="8" fillId="8" borderId="9" xfId="0" applyNumberFormat="1" applyFont="1" applyFill="1" applyBorder="1" applyAlignment="1">
      <x:alignment vertical="top" wrapText="1"/>
    </x:xf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horizontal="center" vertical="top" wrapText="1"/>
    </x:xf>
    <x:xf numFmtId="0" fontId="11" fillId="4" borderId="1" xfId="0" applyNumberFormat="1" applyFont="1" applyFill="1" applyBorder="1" applyAlignment="1">
      <x:alignment vertical="top" wrapText="1"/>
    </x:xf>
    <x:xf numFmtId="201" fontId="11" fillId="4" borderId="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horizontal="center" vertical="top" wrapText="1"/>
    </x:xf>
    <x:xf numFmtId="0" fontId="11" fillId="7" borderId="1" xfId="0" applyNumberFormat="1" applyFont="1" applyFill="1" applyBorder="1" applyAlignment="1">
      <x:alignment horizontal="center" vertical="top" wrapText="1"/>
    </x:xf>
    <x:xf numFmtId="0" fontId="11" fillId="6" borderId="1" xfId="0" applyNumberFormat="1" applyFont="1" applyFill="1" applyBorder="1" applyAlignment="1">
      <x:alignment vertical="top" wrapText="1"/>
    </x:xf>
    <x:xf numFmtId="201" fontId="11" fillId="6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201" fontId="11" fillId="0" borderId="0" xfId="0" applyNumberFormat="1" applyFont="1" applyFill="1" applyBorder="1" applyAlignment="1">
      <x:alignment vertical="top" wrapText="1"/>
    </x:xf>
    <x:xf numFmtId="201" fontId="11" fillId="4" borderId="1" xfId="0" applyNumberFormat="1" applyFont="1" applyFill="1" applyBorder="1" applyAlignment="1">
      <x:alignment horizontal="center" vertical="top" wrapText="1"/>
    </x:xf>
    <x:xf numFmtId="201" fontId="11" fillId="6" borderId="1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201" fontId="11" fillId="0" borderId="0" xfId="0" applyNumberFormat="1" applyFont="1" applyFill="1" applyBorder="1" applyAlignment="1">
      <x:alignment horizontal="center" vertical="top" wrapText="1"/>
    </x:xf>
    <x:xf numFmtId="0" fontId="10" fillId="14" borderId="1" xfId="0" applyNumberFormat="1" applyFont="1" applyFill="1" applyBorder="1" applyAlignment="1">
      <x:alignment horizontal="center" vertical="top" wrapText="1"/>
    </x:xf>
    <x:xf numFmtId="0" fontId="11" fillId="14" borderId="1" xfId="0" applyNumberFormat="1" applyFont="1" applyFill="1" applyBorder="1" applyAlignment="1">
      <x:alignment horizontal="center" vertical="top" wrapText="1"/>
    </x:xf>
    <x:xf numFmtId="201" fontId="11" fillId="14" borderId="1" xfId="0" applyNumberFormat="1" applyFont="1" applyFill="1" applyBorder="1" applyAlignment="1">
      <x:alignment horizontal="center" vertical="top" wrapText="1"/>
    </x:xf>
    <x:xf numFmtId="0" fontId="11" fillId="14" borderId="1" xfId="0" applyNumberFormat="1" applyFont="1" applyFill="1" applyBorder="1" applyAlignment="1">
      <x:alignment vertical="top" wrapText="1"/>
    </x:xf>
    <x:xf numFmtId="0" fontId="11" fillId="15" borderId="1" xfId="0" applyNumberFormat="1" applyFont="1" applyFill="1" applyBorder="1" applyAlignment="1">
      <x:alignment horizontal="center" vertical="top" wrapText="1"/>
    </x:xf>
    <x:xf numFmtId="201" fontId="11" fillId="15" borderId="1" xfId="0" applyNumberFormat="1" applyFont="1" applyFill="1" applyBorder="1" applyAlignment="1">
      <x:alignment horizontal="center" vertical="top" wrapText="1"/>
    </x:xf>
    <x:xf numFmtId="0" fontId="11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horizontal="center" vertical="top" wrapText="1"/>
    </x:xf>
    <x:xf numFmtId="0" fontId="11" fillId="15" borderId="0" xfId="0" applyNumberFormat="1" applyFont="1" applyFill="1" applyBorder="1" applyAlignment="1">
      <x:alignment horizontal="center" vertical="top" wrapText="1"/>
    </x:xf>
    <x:xf numFmtId="201" fontId="11" fillId="15" borderId="0" xfId="0" applyNumberFormat="1" applyFont="1" applyFill="1" applyBorder="1" applyAlignment="1">
      <x:alignment horizontal="center" vertical="top" wrapText="1"/>
    </x:xf>
    <x:xf numFmtId="0" fontId="11" fillId="15" borderId="0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 applyAlignment="1">
      <x:alignment horizontal="center" vertical="top" wrapText="1"/>
    </x:xf>
    <x:xf numFmtId="201" fontId="11" fillId="14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11" fillId="8" borderId="1" xfId="0" applyNumberFormat="1" applyFont="1" applyFill="1" applyBorder="1" applyAlignment="1">
      <x:alignment horizontal="center" vertical="top" wrapText="1"/>
    </x:xf>
    <x:xf numFmtId="0" fontId="11" fillId="8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1" fontId="4" fillId="7" borderId="1" xfId="0" applyNumberFormat="1" applyFont="1" applyFill="1" applyBorder="1" applyAlignment="1">
      <x:alignment horizontal="center" vertical="top" wrapText="1"/>
    </x:xf>
    <x:xf numFmtId="201" fontId="11" fillId="7" borderId="1" xfId="0" applyNumberFormat="1" applyFont="1" applyFill="1" applyBorder="1" applyAlignment="1">
      <x:alignment horizontal="center" vertical="top" wrapText="1"/>
    </x:xf>
    <x:xf numFmtId="0" fontId="11" fillId="7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horizontal="center" vertical="top" wrapText="1"/>
    </x:xf>
    <x:xf numFmtId="201" fontId="11" fillId="16" borderId="1" xfId="0" applyNumberFormat="1" applyFont="1" applyFill="1" applyBorder="1" applyAlignment="1">
      <x:alignment horizontal="center" vertical="top" wrapText="1"/>
    </x:xf>
    <x:xf numFmtId="0" fontId="11" fillId="16" borderId="1" xfId="0" applyNumberFormat="1" applyFont="1" applyFill="1" applyBorder="1" applyAlignment="1">
      <x:alignment vertical="top" wrapText="1"/>
    </x:xf>
    <x:xf numFmtId="0" fontId="11" fillId="16" borderId="0" xfId="0" applyNumberFormat="1" applyFont="1" applyFill="1" applyBorder="1" applyAlignment="1">
      <x:alignment horizontal="center" vertical="top" wrapText="1"/>
    </x:xf>
    <x:xf numFmtId="201" fontId="11" fillId="16" borderId="0" xfId="0" applyNumberFormat="1" applyFont="1" applyFill="1" applyBorder="1" applyAlignment="1">
      <x:alignment horizontal="center" vertical="top" wrapText="1"/>
    </x:xf>
    <x:xf numFmtId="0" fontId="11" fillId="16" borderId="0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horizontal="center" vertical="top" wrapText="1"/>
    </x:xf>
    <x:xf numFmtId="0" fontId="11" fillId="13" borderId="1" xfId="0" applyNumberFormat="1" applyFont="1" applyFill="1" applyBorder="1" applyAlignment="1">
      <x:alignment vertical="top" wrapText="1"/>
    </x:xf>
    <x:xf numFmtId="0" fontId="11" fillId="13" borderId="1" xfId="0" applyNumberFormat="1" applyFont="1" applyFill="1" applyBorder="1" applyAlignment="1">
      <x:alignment horizontal="center" vertical="top" wrapText="1"/>
    </x:xf>
    <x:xf numFmtId="0" fontId="11" fillId="17" borderId="1" xfId="0" applyNumberFormat="1" applyFont="1" applyFill="1" applyBorder="1" applyAlignment="1">
      <x:alignment horizontal="center"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11" fillId="17" borderId="0" xfId="0" applyNumberFormat="1" applyFont="1" applyFill="1" applyBorder="1" applyAlignment="1">
      <x:alignment horizontal="center" vertical="top" wrapText="1"/>
    </x:xf>
    <x:xf numFmtId="0" fontId="11" fillId="17" borderId="0" xfId="0" applyNumberFormat="1" applyFont="1" applyFill="1" applyBorder="1" applyAlignment="1">
      <x:alignment vertical="top" wrapText="1"/>
    </x:xf>
    <x:xf numFmtId="200" fontId="11" fillId="4" borderId="1" xfId="0" applyNumberFormat="1" applyFont="1" applyFill="1" applyBorder="1" applyAlignment="1">
      <x:alignment horizontal="center" vertical="top" wrapText="1"/>
    </x:xf>
    <x:xf numFmtId="200" fontId="11" fillId="6" borderId="1" xfId="0" applyNumberFormat="1" applyFont="1" applyFill="1" applyBorder="1" applyAlignment="1">
      <x:alignment horizontal="center" vertical="top" wrapText="1"/>
    </x:xf>
    <x:xf numFmtId="200" fontId="11" fillId="14" borderId="1" xfId="0" applyNumberFormat="1" applyFont="1" applyFill="1" applyBorder="1" applyAlignment="1">
      <x:alignment horizontal="center" vertical="top" wrapText="1"/>
    </x:xf>
    <x:xf numFmtId="200" fontId="11" fillId="15" borderId="1" xfId="0" applyNumberFormat="1" applyFont="1" applyFill="1" applyBorder="1" applyAlignment="1">
      <x:alignment horizontal="center" vertical="top" wrapText="1"/>
    </x:xf>
    <x:xf numFmtId="0" fontId="10" fillId="4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200" fontId="7" fillId="6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/>
    <x:xf numFmtId="0" fontId="4" fillId="18" borderId="10" xfId="0" applyNumberFormat="1" applyFont="1" applyFill="1" applyBorder="1" applyAlignment="1">
      <x:alignment vertical="top" wrapText="1"/>
    </x:xf>
    <x:xf numFmtId="0" fontId="0" fillId="18" borderId="10" xfId="0" applyNumberFormat="1" applyFont="1" applyFill="1" applyBorder="1"/>
    <x:xf numFmtId="200" fontId="12" fillId="6" borderId="10" xfId="0" applyNumberFormat="1" applyFont="1" applyFill="1" applyBorder="1" applyAlignment="1">
      <x:alignment horizontal="center" vertical="top" wrapText="1"/>
    </x:xf>
    <x:xf numFmtId="0" fontId="12" fillId="0" borderId="10" xfId="0" applyNumberFormat="1" applyFont="1" applyFill="1" applyBorder="1"/>
    <x:xf numFmtId="0" fontId="12" fillId="0" borderId="1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left"/>
    </x:xf>
    <x:xf numFmtId="0" fontId="1" fillId="19" borderId="0" xfId="0" applyNumberFormat="1" applyFont="1" applyFill="1" applyBorder="1" applyAlignment="1">
      <x:alignment horizontal="left" vertical="center"/>
    </x:xf>
    <x:xf numFmtId="0" fontId="4" fillId="20" borderId="0" xfId="0" applyNumberFormat="1" applyFont="1" applyFill="1" applyBorder="1"/>
    <x:xf numFmtId="0" fontId="13" fillId="20" borderId="0" xfId="0" applyNumberFormat="1" applyFont="1" applyFill="1" applyBorder="1"/>
    <x:xf numFmtId="0" fontId="13" fillId="20" borderId="11" xfId="0" applyNumberFormat="1" applyFont="1" applyFill="1" applyBorder="1"/>
    <x:xf numFmtId="0" fontId="13" fillId="20" borderId="11" xfId="0" applyNumberFormat="1" applyFont="1" applyFill="1" applyBorder="1" applyAlignment="1">
      <x:alignment wrapText="1"/>
    </x:xf>
    <x:xf numFmtId="0" fontId="13" fillId="20" borderId="11" xfId="0" applyNumberFormat="1" applyFont="1" applyFill="1" applyBorder="1" applyAlignment="1">
      <x:alignment vertical="center" wrapText="1"/>
    </x:xf>
    <x:xf numFmtId="0" fontId="14" fillId="20" borderId="11" xfId="0" applyNumberFormat="1" applyFont="1" applyFill="1" applyBorder="1" applyAlignment="1">
      <x:alignment vertical="center" wrapText="1"/>
    </x:xf>
    <x:xf numFmtId="0" fontId="4" fillId="21" borderId="0" xfId="0" applyNumberFormat="1" applyFont="1" applyFill="1" applyBorder="1"/>
    <x:xf numFmtId="0" fontId="15" fillId="21" borderId="0" xfId="0" applyNumberFormat="1" applyFont="1" applyFill="1" applyBorder="1"/>
    <x:xf numFmtId="0" fontId="15" fillId="21" borderId="0" xfId="0" applyNumberFormat="1" applyFont="1" applyFill="1" applyBorder="1" applyAlignment="1">
      <x:alignment wrapText="1"/>
    </x:xf>
    <x:xf numFmtId="0" fontId="15" fillId="21" borderId="0" xfId="0" applyNumberFormat="1" applyFont="1" applyFill="1" applyBorder="1" applyAlignment="1">
      <x:alignment vertical="center" wrapText="1"/>
    </x:xf>
    <x:xf numFmtId="0" fontId="16" fillId="20" borderId="0" xfId="0" applyNumberFormat="1" applyFont="1" applyFill="1" applyBorder="1"/>
    <x:xf numFmtId="0" fontId="16" fillId="20" borderId="11" xfId="0" applyNumberFormat="1" applyFont="1" applyFill="1" applyBorder="1"/>
    <x:xf numFmtId="0" fontId="16" fillId="20" borderId="11" xfId="0" applyNumberFormat="1" applyFont="1" applyFill="1" applyBorder="1" applyAlignment="1">
      <x:alignment horizontal="center"/>
    </x:xf>
    <x:xf numFmtId="0" fontId="16" fillId="20" borderId="11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/>
    <x:xf numFmtId="0" fontId="16" fillId="22" borderId="0" xfId="0" applyNumberFormat="1" applyFont="1" applyFill="1" applyBorder="1"/>
    <x:xf numFmtId="0" fontId="16" fillId="22" borderId="11" xfId="0" applyNumberFormat="1" applyFont="1" applyFill="1" applyBorder="1"/>
    <x:xf numFmtId="0" fontId="16" fillId="22" borderId="11" xfId="0" applyNumberFormat="1" applyFont="1" applyFill="1" applyBorder="1" applyAlignment="1">
      <x:alignment horizontal="center"/>
    </x:xf>
    <x:xf numFmtId="0" fontId="16" fillId="22" borderId="11" xfId="0" applyNumberFormat="1" applyFont="1" applyFill="1" applyBorder="1" applyAlignment="1">
      <x:alignment horizontal="center" vertical="center"/>
    </x:xf>
    <x:xf numFmtId="0" fontId="4" fillId="23" borderId="0" xfId="0" applyNumberFormat="1" applyFont="1" applyFill="1" applyBorder="1"/>
    <x:xf numFmtId="0" fontId="17" fillId="23" borderId="0" xfId="0" applyNumberFormat="1" applyFont="1" applyFill="1" applyBorder="1"/>
    <x:xf numFmtId="0" fontId="17" fillId="23" borderId="12" xfId="0" applyNumberFormat="1" applyFont="1" applyFill="1" applyBorder="1"/>
    <x:xf numFmtId="0" fontId="17" fillId="23" borderId="12" xfId="0" applyNumberFormat="1" applyFont="1" applyFill="1" applyBorder="1" applyAlignment="1">
      <x:alignment wrapText="1"/>
    </x:xf>
    <x:xf numFmtId="0" fontId="17" fillId="23" borderId="12" xfId="0" applyNumberFormat="1" applyFont="1" applyFill="1" applyBorder="1" applyAlignment="1">
      <x:alignment vertical="center" wrapText="1"/>
    </x:xf>
    <x:xf numFmtId="0" fontId="4" fillId="24" borderId="0" xfId="0" applyNumberFormat="1" applyFont="1" applyFill="1" applyBorder="1"/>
    <x:xf numFmtId="0" fontId="18" fillId="24" borderId="0" xfId="0" applyNumberFormat="1" applyFont="1" applyFill="1" applyBorder="1"/>
    <x:xf numFmtId="0" fontId="18" fillId="24" borderId="13" xfId="0" applyNumberFormat="1" applyFont="1" applyFill="1" applyBorder="1"/>
    <x:xf numFmtId="0" fontId="18" fillId="24" borderId="13" xfId="0" applyNumberFormat="1" applyFont="1" applyFill="1" applyBorder="1" applyAlignment="1">
      <x:alignment wrapText="1"/>
    </x:xf>
    <x:xf numFmtId="0" fontId="18" fillId="24" borderId="13" xfId="0" applyNumberFormat="1" applyFont="1" applyFill="1" applyBorder="1" applyAlignment="1">
      <x:alignment horizontal="center" wrapText="1"/>
    </x:xf>
    <x:xf numFmtId="0" fontId="18" fillId="24" borderId="13" xfId="0" applyNumberFormat="1" applyFont="1" applyFill="1" applyBorder="1" applyAlignment="1">
      <x:alignment horizontal="center" vertical="center" wrapText="1"/>
    </x:xf>
    <x:xf numFmtId="0" fontId="4" fillId="25" borderId="0" xfId="0" applyNumberFormat="1" applyFont="1" applyFill="1" applyBorder="1"/>
    <x:xf numFmtId="0" fontId="4" fillId="25" borderId="14" xfId="0" applyNumberFormat="1" applyFont="1" applyFill="1" applyBorder="1"/>
    <x:xf numFmtId="0" fontId="4" fillId="25" borderId="14" xfId="0" applyNumberFormat="1" applyFont="1" applyFill="1" applyBorder="1" applyAlignment="1">
      <x:alignment wrapText="1"/>
    </x:xf>
    <x:xf numFmtId="0" fontId="4" fillId="25" borderId="14" xfId="0" applyNumberFormat="1" applyFont="1" applyFill="1" applyBorder="1" applyAlignment="1">
      <x:alignment vertical="top" wrapText="1"/>
    </x:xf>
    <x:xf numFmtId="0" fontId="4" fillId="22" borderId="14" xfId="0" applyNumberFormat="1" applyFont="1" applyFill="1" applyBorder="1"/>
    <x:xf numFmtId="0" fontId="4" fillId="22" borderId="14" xfId="0" applyNumberFormat="1" applyFont="1" applyFill="1" applyBorder="1" applyAlignment="1">
      <x:alignment wrapText="1"/>
    </x:xf>
    <x:xf numFmtId="0" fontId="4" fillId="22" borderId="14" xfId="0" applyNumberFormat="1" applyFont="1" applyFill="1" applyBorder="1" applyAlignment="1">
      <x:alignment vertical="top" wrapText="1"/>
    </x:xf>
    <x:xf numFmtId="0" fontId="4" fillId="25" borderId="14" xfId="0" applyNumberFormat="1" applyFont="1" applyFill="1" applyBorder="1" applyAlignment="1">
      <x:alignment horizontal="center" vertical="top" wrapText="1"/>
    </x:xf>
    <x:xf numFmtId="0" fontId="4" fillId="22" borderId="14" xfId="0" applyNumberFormat="1" applyFont="1" applyFill="1" applyBorder="1" applyAlignment="1">
      <x:alignment horizontal="center" vertical="top" wrapText="1"/>
    </x:xf>
    <x:xf numFmtId="202" fontId="13" fillId="20" borderId="11" xfId="0" applyNumberFormat="1" applyFont="1" applyFill="1" applyBorder="1" applyAlignment="1">
      <x:alignment vertical="center" wrapText="1"/>
    </x:xf>
    <x:xf numFmtId="202" fontId="4" fillId="25" borderId="14" xfId="0" applyNumberFormat="1" applyFont="1" applyFill="1" applyBorder="1" applyAlignment="1">
      <x:alignment vertical="top" wrapText="1"/>
    </x:xf>
    <x:xf numFmtId="202" fontId="4" fillId="22" borderId="14" xfId="0" applyNumberFormat="1" applyFont="1" applyFill="1" applyBorder="1" applyAlignment="1">
      <x:alignment vertical="top" wrapText="1"/>
    </x:xf>
    <x:xf numFmtId="203" fontId="16" fillId="22" borderId="11" xfId="0" applyNumberFormat="1" applyFont="1" applyFill="1" applyBorder="1" applyAlignment="1">
      <x:alignment horizontal="center" vertical="center"/>
    </x:xf>
    <x:xf numFmtId="201" fontId="11" fillId="6" borderId="0" xfId="0" applyNumberFormat="1" applyFont="1" applyFill="1" applyBorder="1" applyAlignment="1">
      <x:alignment horizontal="center" vertical="top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3" fillId="26" borderId="1" xfId="0" applyNumberFormat="1" applyFont="1" applyFill="1" applyBorder="1" applyAlignment="1">
      <x:alignment horizontal="center" vertical="center" wrapText="1"/>
    </x:xf>
    <x:xf numFmtId="0" fontId="10" fillId="27" borderId="1" xfId="0" applyNumberFormat="1" applyFont="1" applyFill="1" applyBorder="1" applyAlignment="1">
      <x:alignment horizontal="center" vertical="top" wrapText="1"/>
    </x:xf>
    <x:xf numFmtId="0" fontId="11" fillId="27" borderId="1" xfId="0" applyNumberFormat="1" applyFont="1" applyFill="1" applyBorder="1" applyAlignment="1">
      <x:alignment horizontal="center" vertical="top" wrapText="1"/>
    </x:xf>
    <x:xf numFmtId="201" fontId="11" fillId="27" borderId="1" xfId="0" applyNumberFormat="1" applyFont="1" applyFill="1" applyBorder="1" applyAlignment="1">
      <x:alignment horizontal="center" vertical="top" wrapText="1"/>
    </x:xf>
    <x:xf numFmtId="0" fontId="11" fillId="27" borderId="1" xfId="0" applyNumberFormat="1" applyFont="1" applyFill="1" applyBorder="1" applyAlignment="1">
      <x:alignment vertical="top" wrapText="1"/>
    </x:xf>
    <x:xf numFmtId="0" fontId="11" fillId="28" borderId="1" xfId="0" applyNumberFormat="1" applyFont="1" applyFill="1" applyBorder="1" applyAlignment="1">
      <x:alignment horizontal="center" vertical="top" wrapText="1"/>
    </x:xf>
    <x:xf numFmtId="201" fontId="11" fillId="28" borderId="1" xfId="0" applyNumberFormat="1" applyFont="1" applyFill="1" applyBorder="1" applyAlignment="1">
      <x:alignment horizontal="center" vertical="top" wrapText="1"/>
    </x:xf>
    <x:xf numFmtId="0" fontId="11" fillId="28" borderId="1" xfId="0" applyNumberFormat="1" applyFont="1" applyFill="1" applyBorder="1" applyAlignment="1">
      <x:alignment vertical="top" wrapText="1"/>
    </x:xf>
    <x:xf numFmtId="0" fontId="10" fillId="28" borderId="1" xfId="0" applyNumberFormat="1" applyFont="1" applyFill="1" applyBorder="1" applyAlignment="1">
      <x:alignment horizontal="center" vertical="top" wrapText="1"/>
    </x:xf>
    <x:xf numFmtId="0" fontId="11" fillId="28" borderId="0" xfId="0" applyNumberFormat="1" applyFont="1" applyFill="1" applyBorder="1" applyAlignment="1">
      <x:alignment horizontal="center" vertical="top" wrapText="1"/>
    </x:xf>
    <x:xf numFmtId="201" fontId="11" fillId="28" borderId="0" xfId="0" applyNumberFormat="1" applyFont="1" applyFill="1" applyBorder="1" applyAlignment="1">
      <x:alignment horizontal="center" vertical="top" wrapText="1"/>
    </x:xf>
    <x:xf numFmtId="0" fontId="11" fillId="28" borderId="0" xfId="0" applyNumberFormat="1" applyFont="1" applyFill="1" applyBorder="1" applyAlignment="1">
      <x:alignment vertical="top" wrapText="1"/>
    </x:xf>
    <x:xf numFmtId="0" fontId="11" fillId="27" borderId="0" xfId="0" applyNumberFormat="1" applyFont="1" applyFill="1" applyBorder="1" applyAlignment="1">
      <x:alignment horizontal="center" vertical="top" wrapText="1"/>
    </x:xf>
    <x:xf numFmtId="201" fontId="11" fillId="27" borderId="0" xfId="0" applyNumberFormat="1" applyFont="1" applyFill="1" applyBorder="1" applyAlignment="1">
      <x:alignment horizontal="center" vertical="top" wrapText="1"/>
    </x:xf>
    <x:xf numFmtId="0" fontId="11" fillId="27" borderId="0" xfId="0" applyNumberFormat="1" applyFont="1" applyFill="1" applyBorder="1" applyAlignment="1">
      <x:alignment vertical="top" wrapText="1"/>
    </x:xf>
    <x:xf numFmtId="0" fontId="11" fillId="29" borderId="1" xfId="0" applyNumberFormat="1" applyFont="1" applyFill="1" applyBorder="1" applyAlignment="1">
      <x:alignment horizontal="center" vertical="top" wrapText="1"/>
    </x:xf>
    <x:xf numFmtId="201" fontId="11" fillId="29" borderId="1" xfId="0" applyNumberFormat="1" applyFont="1" applyFill="1" applyBorder="1" applyAlignment="1">
      <x:alignment horizontal="center" vertical="top" wrapText="1"/>
    </x:xf>
    <x:xf numFmtId="0" fontId="11" fillId="29" borderId="1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11" fillId="30" borderId="1" xfId="0" applyNumberFormat="1" applyFont="1" applyFill="1" applyBorder="1" applyAlignment="1">
      <x:alignment horizontal="center" vertical="top" wrapText="1"/>
    </x:xf>
    <x:xf numFmtId="0" fontId="11" fillId="30" borderId="1" xfId="0" applyNumberFormat="1" applyFont="1" applyFill="1" applyBorder="1" applyAlignment="1">
      <x:alignment vertical="top" wrapText="1"/>
    </x:xf>
    <x:xf numFmtId="0" fontId="11" fillId="30" borderId="0" xfId="0" applyNumberFormat="1" applyFont="1" applyFill="1" applyBorder="1" applyAlignment="1">
      <x:alignment horizontal="center" vertical="top" wrapText="1"/>
    </x:xf>
    <x:xf numFmtId="0" fontId="11" fillId="30" borderId="0" xfId="0" applyNumberFormat="1" applyFont="1" applyFill="1" applyBorder="1" applyAlignment="1">
      <x:alignment vertical="top" wrapText="1"/>
    </x:xf>
    <x:xf numFmtId="200" fontId="11" fillId="27" borderId="1" xfId="0" applyNumberFormat="1" applyFont="1" applyFill="1" applyBorder="1" applyAlignment="1">
      <x:alignment horizontal="center" vertical="top" wrapText="1"/>
    </x:xf>
    <x:xf numFmtId="200" fontId="11" fillId="28" borderId="1" xfId="0" applyNumberFormat="1" applyFont="1" applyFill="1" applyBorder="1" applyAlignment="1">
      <x:alignment horizontal="center" vertical="top" wrapText="1"/>
    </x:xf>
    <x:xf numFmtId="0" fontId="1" fillId="31" borderId="0" xfId="0" applyNumberFormat="1" applyFont="1" applyFill="1" applyBorder="1" applyAlignment="1">
      <x:alignment horizontal="left" vertical="center"/>
    </x:xf>
    <x:xf numFmtId="0" fontId="14" fillId="27" borderId="11" xfId="0" applyNumberFormat="1" applyFont="1" applyFill="1" applyBorder="1" applyAlignment="1">
      <x:alignment vertical="center" wrapText="1"/>
    </x:xf>
    <x:xf numFmtId="202" fontId="13" fillId="27" borderId="11" xfId="0" applyNumberFormat="1" applyFont="1" applyFill="1" applyBorder="1" applyAlignment="1">
      <x:alignment vertical="center" wrapText="1"/>
    </x:xf>
    <x:xf numFmtId="0" fontId="13" fillId="27" borderId="11" xfId="0" applyNumberFormat="1" applyFont="1" applyFill="1" applyBorder="1" applyAlignment="1">
      <x:alignment vertical="center" wrapText="1"/>
    </x:xf>
    <x:xf numFmtId="0" fontId="15" fillId="32" borderId="0" xfId="0" applyNumberFormat="1" applyFont="1" applyFill="1" applyBorder="1" applyAlignment="1">
      <x:alignment vertical="center" wrapText="1"/>
    </x:xf>
    <x:xf numFmtId="0" fontId="16" fillId="27" borderId="11" xfId="0" applyNumberFormat="1" applyFont="1" applyFill="1" applyBorder="1" applyAlignment="1">
      <x:alignment horizontal="center" vertical="center"/>
    </x:xf>
    <x:xf numFmtId="0" fontId="16" fillId="28" borderId="11" xfId="0" applyNumberFormat="1" applyFont="1" applyFill="1" applyBorder="1" applyAlignment="1">
      <x:alignment horizontal="center" vertical="center"/>
    </x:xf>
    <x:xf numFmtId="203" fontId="16" fillId="28" borderId="11" xfId="0" applyNumberFormat="1" applyFont="1" applyFill="1" applyBorder="1" applyAlignment="1">
      <x:alignment horizontal="center" vertical="center"/>
    </x:xf>
    <x:xf numFmtId="0" fontId="17" fillId="33" borderId="12" xfId="0" applyNumberFormat="1" applyFont="1" applyFill="1" applyBorder="1" applyAlignment="1">
      <x:alignment vertical="center" wrapText="1"/>
    </x:xf>
    <x:xf numFmtId="0" fontId="18" fillId="34" borderId="13" xfId="0" applyNumberFormat="1" applyFont="1" applyFill="1" applyBorder="1" applyAlignment="1">
      <x:alignment horizontal="center" vertical="center" wrapText="1"/>
    </x:xf>
    <x:xf numFmtId="0" fontId="4" fillId="35" borderId="14" xfId="0" applyNumberFormat="1" applyFont="1" applyFill="1" applyBorder="1" applyAlignment="1">
      <x:alignment vertical="top" wrapText="1"/>
    </x:xf>
    <x:xf numFmtId="202" fontId="4" fillId="35" borderId="14" xfId="0" applyNumberFormat="1" applyFont="1" applyFill="1" applyBorder="1" applyAlignment="1">
      <x:alignment vertical="top" wrapText="1"/>
    </x:xf>
    <x:xf numFmtId="0" fontId="4" fillId="35" borderId="14" xfId="0" applyNumberFormat="1" applyFont="1" applyFill="1" applyBorder="1" applyAlignment="1">
      <x:alignment horizontal="center" vertical="top" wrapText="1"/>
    </x:xf>
    <x:xf numFmtId="0" fontId="4" fillId="28" borderId="14" xfId="0" applyNumberFormat="1" applyFont="1" applyFill="1" applyBorder="1" applyAlignment="1">
      <x:alignment vertical="top" wrapText="1"/>
    </x:xf>
    <x:xf numFmtId="202" fontId="4" fillId="28" borderId="14" xfId="0" applyNumberFormat="1" applyFont="1" applyFill="1" applyBorder="1" applyAlignment="1">
      <x:alignment vertical="top" wrapText="1"/>
    </x:xf>
    <x:xf numFmtId="0" fontId="4" fillId="28" borderId="14" xfId="0" applyNumberFormat="1" applyFont="1" applyFill="1" applyBorder="1" applyAlignment="1">
      <x:alignment horizontal="center" vertical="top" wrapText="1"/>
    </x:xf>
    <x:xf numFmtId="0" fontId="11" fillId="35" borderId="14" xfId="0" applyNumberFormat="1" applyFont="1" applyFill="1" applyBorder="1" applyAlignment="1">
      <x:alignment vertical="top" wrapText="1"/>
    </x:xf>
    <x:xf numFmtId="202" fontId="11" fillId="35" borderId="14" xfId="0" applyNumberFormat="1" applyFont="1" applyFill="1" applyBorder="1" applyAlignment="1">
      <x:alignment vertical="top" wrapText="1"/>
    </x:xf>
    <x:xf numFmtId="0" fontId="11" fillId="35" borderId="14" xfId="0" applyNumberFormat="1" applyFont="1" applyFill="1" applyBorder="1" applyAlignment="1">
      <x:alignment horizontal="center" vertical="top" wrapText="1"/>
    </x:xf>
    <x:xf numFmtId="0" fontId="11" fillId="28" borderId="14" xfId="0" applyNumberFormat="1" applyFont="1" applyFill="1" applyBorder="1" applyAlignment="1">
      <x:alignment vertical="top" wrapText="1"/>
    </x:xf>
    <x:xf numFmtId="202" fontId="11" fillId="28" borderId="14" xfId="0" applyNumberFormat="1" applyFont="1" applyFill="1" applyBorder="1" applyAlignment="1">
      <x:alignment vertical="top" wrapText="1"/>
    </x:xf>
    <x:xf numFmtId="0" fontId="11" fillId="28" borderId="14" xfId="0" applyNumberFormat="1" applyFont="1" applyFill="1" applyBorder="1" applyAlignment="1">
      <x:alignment horizontal="center" vertical="top"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1" fillId="31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wrapText="1"/>
    </x:xf>
    <x:xf numFmtId="0" fontId="13" fillId="2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0" fontId="11" fillId="35" borderId="0" xfId="0" applyNumberFormat="1" applyFont="1" applyFill="1" applyBorder="1" applyAlignment="1">
      <x:alignment horizontal="center" vertical="top" wrapText="1"/>
    </x:xf>
    <x:xf numFmtId="0" fontId="11" fillId="35" borderId="0" xfId="0" applyNumberFormat="1" applyFont="1" applyFill="1" applyBorder="1" applyAlignment="1">
      <x:alignment vertical="top" wrapText="1"/>
    </x:xf>
    <x:xf numFmtId="0" fontId="4" fillId="36" borderId="10" xfId="0" applyNumberFormat="1" applyFont="1" applyFill="1" applyBorder="1" applyAlignment="1">
      <x:alignment vertical="top" wrapText="1"/>
    </x:xf>
    <x:xf numFmtId="0" fontId="0" fillId="36" borderId="10" xfId="0" applyNumberFormat="1" applyFont="1" applyFill="1" applyBorder="1"/>
    <x:xf numFmtId="0" fontId="10" fillId="14" borderId="15" xfId="0" applyNumberFormat="1" applyFont="1" applyFill="1" applyBorder="1" applyAlignment="1">
      <x:alignment horizontal="center" vertical="top" wrapText="1"/>
    </x:xf>
    <x:xf numFmtId="0" fontId="11" fillId="14" borderId="16" xfId="0" applyNumberFormat="1" applyFont="1" applyFill="1" applyBorder="1" applyAlignment="1">
      <x:alignment horizontal="center" vertical="top" wrapText="1"/>
    </x:xf>
    <x:xf numFmtId="201" fontId="11" fillId="14" borderId="16" xfId="0" applyNumberFormat="1" applyFont="1" applyFill="1" applyBorder="1" applyAlignment="1">
      <x:alignment horizontal="center" vertical="top" wrapText="1"/>
    </x:xf>
    <x:xf numFmtId="0" fontId="11" fillId="14" borderId="16" xfId="0" applyNumberFormat="1" applyFont="1" applyFill="1" applyBorder="1" applyAlignment="1">
      <x:alignment vertical="top" wrapText="1"/>
    </x:xf>
    <x:xf numFmtId="0" fontId="11" fillId="14" borderId="17" xfId="0" applyNumberFormat="1" applyFont="1" applyFill="1" applyBorder="1" applyAlignment="1">
      <x:alignment vertical="top" wrapText="1"/>
    </x:xf>
    <x:xf numFmtId="0" fontId="11" fillId="6" borderId="18" xfId="0" applyNumberFormat="1" applyFont="1" applyFill="1" applyBorder="1" applyAlignment="1">
      <x:alignment horizontal="center" vertical="top" wrapText="1"/>
    </x:xf>
    <x:xf numFmtId="0" fontId="11" fillId="6" borderId="19" xfId="0" applyNumberFormat="1" applyFont="1" applyFill="1" applyBorder="1" applyAlignment="1">
      <x:alignment horizontal="center" vertical="top" wrapText="1"/>
    </x:xf>
    <x:xf numFmtId="201" fontId="11" fillId="6" borderId="19" xfId="0" applyNumberFormat="1" applyFont="1" applyFill="1" applyBorder="1" applyAlignment="1">
      <x:alignment horizontal="center" vertical="top" wrapText="1"/>
    </x:xf>
    <x:xf numFmtId="0" fontId="11" fillId="6" borderId="19" xfId="0" applyNumberFormat="1" applyFont="1" applyFill="1" applyBorder="1" applyAlignment="1">
      <x:alignment vertical="top" wrapText="1"/>
    </x:xf>
    <x:xf numFmtId="0" fontId="11" fillId="6" borderId="20" xfId="0" applyNumberFormat="1" applyFont="1" applyFill="1" applyBorder="1" applyAlignment="1">
      <x:alignment vertical="top" wrapText="1"/>
    </x:xf>
    <x:xf numFmtId="0" fontId="10" fillId="14" borderId="18" xfId="0" applyNumberFormat="1" applyFont="1" applyFill="1" applyBorder="1" applyAlignment="1">
      <x:alignment horizontal="center" vertical="top" wrapText="1"/>
    </x:xf>
    <x:xf numFmtId="0" fontId="11" fillId="14" borderId="19" xfId="0" applyNumberFormat="1" applyFont="1" applyFill="1" applyBorder="1" applyAlignment="1">
      <x:alignment horizontal="center" vertical="top" wrapText="1"/>
    </x:xf>
    <x:xf numFmtId="201" fontId="11" fillId="14" borderId="19" xfId="0" applyNumberFormat="1" applyFont="1" applyFill="1" applyBorder="1" applyAlignment="1">
      <x:alignment horizontal="center" vertical="top" wrapText="1"/>
    </x:xf>
    <x:xf numFmtId="0" fontId="11" fillId="14" borderId="19" xfId="0" applyNumberFormat="1" applyFont="1" applyFill="1" applyBorder="1" applyAlignment="1">
      <x:alignment vertical="top" wrapText="1"/>
    </x:xf>
    <x:xf numFmtId="0" fontId="11" fillId="14" borderId="20" xfId="0" applyNumberFormat="1" applyFont="1" applyFill="1" applyBorder="1" applyAlignment="1">
      <x:alignment vertical="top" wrapText="1"/>
    </x:xf>
    <x:xf numFmtId="0" fontId="10" fillId="6" borderId="18" xfId="0" applyNumberFormat="1" applyFont="1" applyFill="1" applyBorder="1" applyAlignment="1">
      <x:alignment horizontal="center" vertical="top" wrapText="1"/>
    </x:xf>
    <x:xf numFmtId="0" fontId="11" fillId="14" borderId="18" xfId="0" applyNumberFormat="1" applyFont="1" applyFill="1" applyBorder="1" applyAlignment="1">
      <x:alignment horizontal="center" vertical="top" wrapText="1"/>
    </x:xf>
    <x:xf numFmtId="0" fontId="11" fillId="6" borderId="21" xfId="0" applyNumberFormat="1" applyFont="1" applyFill="1" applyBorder="1" applyAlignment="1">
      <x:alignment horizontal="center" vertical="top" wrapText="1"/>
    </x:xf>
    <x:xf numFmtId="0" fontId="11" fillId="6" borderId="22" xfId="0" applyNumberFormat="1" applyFont="1" applyFill="1" applyBorder="1" applyAlignment="1">
      <x:alignment horizontal="center" vertical="top" wrapText="1"/>
    </x:xf>
    <x:xf numFmtId="201" fontId="11" fillId="6" borderId="22" xfId="0" applyNumberFormat="1" applyFont="1" applyFill="1" applyBorder="1" applyAlignment="1">
      <x:alignment horizontal="center" vertical="top" wrapText="1"/>
    </x:xf>
    <x:xf numFmtId="0" fontId="11" fillId="6" borderId="22" xfId="0" applyNumberFormat="1" applyFont="1" applyFill="1" applyBorder="1" applyAlignment="1">
      <x:alignment vertical="top" wrapText="1"/>
    </x:xf>
    <x:xf numFmtId="0" fontId="11" fillId="6" borderId="23" xfId="0" applyNumberFormat="1" applyFont="1" applyFill="1" applyBorder="1" applyAlignment="1">
      <x:alignment vertical="top" wrapText="1"/>
    </x:xf>
    <x:xf numFmtId="0" fontId="3" fillId="37" borderId="1" xfId="0" applyNumberFormat="1" applyFont="1" applyFill="1" applyBorder="1" applyAlignment="1">
      <x:alignment horizontal="center" vertical="center" wrapText="1"/>
    </x:xf>
    <x:xf numFmtId="0" fontId="10" fillId="38" borderId="15" xfId="0" applyNumberFormat="1" applyFont="1" applyFill="1" applyBorder="1" applyAlignment="1">
      <x:alignment horizontal="center" vertical="top" wrapText="1"/>
    </x:xf>
    <x:xf numFmtId="0" fontId="11" fillId="38" borderId="16" xfId="0" applyNumberFormat="1" applyFont="1" applyFill="1" applyBorder="1" applyAlignment="1">
      <x:alignment horizontal="center" vertical="top" wrapText="1"/>
    </x:xf>
    <x:xf numFmtId="201" fontId="11" fillId="38" borderId="16" xfId="0" applyNumberFormat="1" applyFont="1" applyFill="1" applyBorder="1" applyAlignment="1">
      <x:alignment horizontal="center" vertical="top" wrapText="1"/>
    </x:xf>
    <x:xf numFmtId="0" fontId="11" fillId="38" borderId="16" xfId="0" applyNumberFormat="1" applyFont="1" applyFill="1" applyBorder="1" applyAlignment="1">
      <x:alignment vertical="top" wrapText="1"/>
    </x:xf>
    <x:xf numFmtId="0" fontId="11" fillId="38" borderId="17" xfId="0" applyNumberFormat="1" applyFont="1" applyFill="1" applyBorder="1" applyAlignment="1">
      <x:alignment vertical="top" wrapText="1"/>
    </x:xf>
    <x:xf numFmtId="0" fontId="11" fillId="39" borderId="18" xfId="0" applyNumberFormat="1" applyFont="1" applyFill="1" applyBorder="1" applyAlignment="1">
      <x:alignment horizontal="center" vertical="top" wrapText="1"/>
    </x:xf>
    <x:xf numFmtId="0" fontId="11" fillId="39" borderId="19" xfId="0" applyNumberFormat="1" applyFont="1" applyFill="1" applyBorder="1" applyAlignment="1">
      <x:alignment horizontal="center" vertical="top" wrapText="1"/>
    </x:xf>
    <x:xf numFmtId="201" fontId="11" fillId="39" borderId="19" xfId="0" applyNumberFormat="1" applyFont="1" applyFill="1" applyBorder="1" applyAlignment="1">
      <x:alignment horizontal="center" vertical="top" wrapText="1"/>
    </x:xf>
    <x:xf numFmtId="0" fontId="11" fillId="39" borderId="19" xfId="0" applyNumberFormat="1" applyFont="1" applyFill="1" applyBorder="1" applyAlignment="1">
      <x:alignment vertical="top" wrapText="1"/>
    </x:xf>
    <x:xf numFmtId="0" fontId="11" fillId="39" borderId="20" xfId="0" applyNumberFormat="1" applyFont="1" applyFill="1" applyBorder="1" applyAlignment="1">
      <x:alignment vertical="top" wrapText="1"/>
    </x:xf>
    <x:xf numFmtId="0" fontId="10" fillId="38" borderId="18" xfId="0" applyNumberFormat="1" applyFont="1" applyFill="1" applyBorder="1" applyAlignment="1">
      <x:alignment horizontal="center" vertical="top" wrapText="1"/>
    </x:xf>
    <x:xf numFmtId="0" fontId="11" fillId="38" borderId="19" xfId="0" applyNumberFormat="1" applyFont="1" applyFill="1" applyBorder="1" applyAlignment="1">
      <x:alignment horizontal="center" vertical="top" wrapText="1"/>
    </x:xf>
    <x:xf numFmtId="201" fontId="11" fillId="38" borderId="19" xfId="0" applyNumberFormat="1" applyFont="1" applyFill="1" applyBorder="1" applyAlignment="1">
      <x:alignment horizontal="center" vertical="top" wrapText="1"/>
    </x:xf>
    <x:xf numFmtId="0" fontId="11" fillId="38" borderId="19" xfId="0" applyNumberFormat="1" applyFont="1" applyFill="1" applyBorder="1" applyAlignment="1">
      <x:alignment vertical="top" wrapText="1"/>
    </x:xf>
    <x:xf numFmtId="0" fontId="11" fillId="38" borderId="20" xfId="0" applyNumberFormat="1" applyFont="1" applyFill="1" applyBorder="1" applyAlignment="1">
      <x:alignment vertical="top" wrapText="1"/>
    </x:xf>
    <x:xf numFmtId="0" fontId="10" fillId="39" borderId="18" xfId="0" applyNumberFormat="1" applyFont="1" applyFill="1" applyBorder="1" applyAlignment="1">
      <x:alignment horizontal="center" vertical="top" wrapText="1"/>
    </x:xf>
    <x:xf numFmtId="0" fontId="11" fillId="38" borderId="18" xfId="0" applyNumberFormat="1" applyFont="1" applyFill="1" applyBorder="1" applyAlignment="1">
      <x:alignment horizontal="center" vertical="top" wrapText="1"/>
    </x:xf>
    <x:xf numFmtId="0" fontId="11" fillId="39" borderId="21" xfId="0" applyNumberFormat="1" applyFont="1" applyFill="1" applyBorder="1" applyAlignment="1">
      <x:alignment horizontal="center" vertical="top" wrapText="1"/>
    </x:xf>
    <x:xf numFmtId="0" fontId="11" fillId="39" borderId="22" xfId="0" applyNumberFormat="1" applyFont="1" applyFill="1" applyBorder="1" applyAlignment="1">
      <x:alignment horizontal="center" vertical="top" wrapText="1"/>
    </x:xf>
    <x:xf numFmtId="201" fontId="11" fillId="39" borderId="22" xfId="0" applyNumberFormat="1" applyFont="1" applyFill="1" applyBorder="1" applyAlignment="1">
      <x:alignment horizontal="center" vertical="top" wrapText="1"/>
    </x:xf>
    <x:xf numFmtId="0" fontId="11" fillId="39" borderId="22" xfId="0" applyNumberFormat="1" applyFont="1" applyFill="1" applyBorder="1" applyAlignment="1">
      <x:alignment vertical="top" wrapText="1"/>
    </x:xf>
    <x:xf numFmtId="0" fontId="11" fillId="39" borderId="23" xfId="0" applyNumberFormat="1" applyFont="1" applyFill="1" applyBorder="1" applyAlignment="1">
      <x:alignment vertical="top" wrapText="1"/>
    </x:xf>
    <x:xf numFmtId="0" fontId="11" fillId="8" borderId="15" xfId="0" applyNumberFormat="1" applyFont="1" applyFill="1" applyBorder="1" applyAlignment="1">
      <x:alignment horizontal="center" vertical="top" wrapText="1"/>
    </x:xf>
    <x:xf numFmtId="0" fontId="11" fillId="8" borderId="16" xfId="0" applyNumberFormat="1" applyFont="1" applyFill="1" applyBorder="1" applyAlignment="1">
      <x:alignment horizontal="center" vertical="top" wrapText="1"/>
    </x:xf>
    <x:xf numFmtId="0" fontId="11" fillId="8" borderId="16" xfId="0" applyNumberFormat="1" applyFont="1" applyFill="1" applyBorder="1" applyAlignment="1">
      <x:alignment vertical="top" wrapText="1"/>
    </x:xf>
    <x:xf numFmtId="0" fontId="11" fillId="8" borderId="17" xfId="0" applyNumberFormat="1" applyFont="1" applyFill="1" applyBorder="1" applyAlignment="1">
      <x:alignment vertical="top" wrapText="1"/>
    </x:xf>
    <x:xf numFmtId="0" fontId="11" fillId="8" borderId="18" xfId="0" applyNumberFormat="1" applyFont="1" applyFill="1" applyBorder="1" applyAlignment="1">
      <x:alignment horizontal="center" vertical="top" wrapText="1"/>
    </x:xf>
    <x:xf numFmtId="0" fontId="11" fillId="8" borderId="19" xfId="0" applyNumberFormat="1" applyFont="1" applyFill="1" applyBorder="1" applyAlignment="1">
      <x:alignment horizontal="center" vertical="top" wrapText="1"/>
    </x:xf>
    <x:xf numFmtId="0" fontId="11" fillId="8" borderId="19" xfId="0" applyNumberFormat="1" applyFont="1" applyFill="1" applyBorder="1" applyAlignment="1">
      <x:alignment vertical="top" wrapText="1"/>
    </x:xf>
    <x:xf numFmtId="0" fontId="11" fillId="8" borderId="20" xfId="0" applyNumberFormat="1" applyFont="1" applyFill="1" applyBorder="1" applyAlignment="1">
      <x:alignment vertical="top" wrapText="1"/>
    </x:xf>
    <x:xf numFmtId="0" fontId="11" fillId="0" borderId="18" xfId="0" applyNumberFormat="1" applyFont="1" applyFill="1" applyBorder="1" applyAlignment="1">
      <x:alignment horizontal="center" vertical="top" wrapText="1"/>
    </x:xf>
    <x:xf numFmtId="0" fontId="11" fillId="0" borderId="19" xfId="0" applyNumberFormat="1" applyFont="1" applyFill="1" applyBorder="1" applyAlignment="1">
      <x:alignment horizontal="center" vertical="top" wrapText="1"/>
    </x:xf>
    <x:xf numFmtId="0" fontId="11" fillId="0" borderId="19" xfId="0" applyNumberFormat="1" applyFont="1" applyFill="1" applyBorder="1" applyAlignment="1">
      <x:alignment vertical="top" wrapText="1"/>
    </x:xf>
    <x:xf numFmtId="0" fontId="11" fillId="0" borderId="20" xfId="0" applyNumberFormat="1" applyFont="1" applyFill="1" applyBorder="1" applyAlignment="1">
      <x:alignment vertical="top" wrapText="1"/>
    </x:xf>
    <x:xf numFmtId="0" fontId="11" fillId="0" borderId="21" xfId="0" applyNumberFormat="1" applyFont="1" applyFill="1" applyBorder="1" applyAlignment="1">
      <x:alignment horizontal="center" vertical="top" wrapText="1"/>
    </x:xf>
    <x:xf numFmtId="0" fontId="11" fillId="0" borderId="22" xfId="0" applyNumberFormat="1" applyFont="1" applyFill="1" applyBorder="1" applyAlignment="1">
      <x:alignment horizontal="center" vertical="top" wrapText="1"/>
    </x:xf>
    <x:xf numFmtId="0" fontId="11" fillId="0" borderId="22" xfId="0" applyNumberFormat="1" applyFont="1" applyFill="1" applyBorder="1" applyAlignment="1">
      <x:alignment vertical="top" wrapText="1"/>
    </x:xf>
    <x:xf numFmtId="0" fontId="11" fillId="0" borderId="23" xfId="0" applyNumberFormat="1" applyFont="1" applyFill="1" applyBorder="1" applyAlignment="1">
      <x:alignment vertical="top" wrapText="1"/>
    </x:xf>
    <x:xf numFmtId="0" fontId="11" fillId="40" borderId="15" xfId="0" applyNumberFormat="1" applyFont="1" applyFill="1" applyBorder="1" applyAlignment="1">
      <x:alignment horizontal="center" vertical="top" wrapText="1"/>
    </x:xf>
    <x:xf numFmtId="0" fontId="11" fillId="40" borderId="16" xfId="0" applyNumberFormat="1" applyFont="1" applyFill="1" applyBorder="1" applyAlignment="1">
      <x:alignment horizontal="center" vertical="top" wrapText="1"/>
    </x:xf>
    <x:xf numFmtId="0" fontId="11" fillId="40" borderId="16" xfId="0" applyNumberFormat="1" applyFont="1" applyFill="1" applyBorder="1" applyAlignment="1">
      <x:alignment vertical="top" wrapText="1"/>
    </x:xf>
    <x:xf numFmtId="0" fontId="11" fillId="40" borderId="17" xfId="0" applyNumberFormat="1" applyFont="1" applyFill="1" applyBorder="1" applyAlignment="1">
      <x:alignment vertical="top" wrapText="1"/>
    </x:xf>
    <x:xf numFmtId="0" fontId="11" fillId="41" borderId="18" xfId="0" applyNumberFormat="1" applyFont="1" applyFill="1" applyBorder="1" applyAlignment="1">
      <x:alignment horizontal="center" vertical="top" wrapText="1"/>
    </x:xf>
    <x:xf numFmtId="0" fontId="11" fillId="41" borderId="19" xfId="0" applyNumberFormat="1" applyFont="1" applyFill="1" applyBorder="1" applyAlignment="1">
      <x:alignment horizontal="center" vertical="top" wrapText="1"/>
    </x:xf>
    <x:xf numFmtId="0" fontId="11" fillId="41" borderId="19" xfId="0" applyNumberFormat="1" applyFont="1" applyFill="1" applyBorder="1" applyAlignment="1">
      <x:alignment vertical="top" wrapText="1"/>
    </x:xf>
    <x:xf numFmtId="0" fontId="11" fillId="41" borderId="20" xfId="0" applyNumberFormat="1" applyFont="1" applyFill="1" applyBorder="1" applyAlignment="1">
      <x:alignment vertical="top" wrapText="1"/>
    </x:xf>
    <x:xf numFmtId="0" fontId="11" fillId="40" borderId="18" xfId="0" applyNumberFormat="1" applyFont="1" applyFill="1" applyBorder="1" applyAlignment="1">
      <x:alignment horizontal="center" vertical="top" wrapText="1"/>
    </x:xf>
    <x:xf numFmtId="0" fontId="11" fillId="40" borderId="19" xfId="0" applyNumberFormat="1" applyFont="1" applyFill="1" applyBorder="1" applyAlignment="1">
      <x:alignment horizontal="center" vertical="top" wrapText="1"/>
    </x:xf>
    <x:xf numFmtId="0" fontId="11" fillId="40" borderId="19" xfId="0" applyNumberFormat="1" applyFont="1" applyFill="1" applyBorder="1" applyAlignment="1">
      <x:alignment vertical="top" wrapText="1"/>
    </x:xf>
    <x:xf numFmtId="0" fontId="11" fillId="40" borderId="20" xfId="0" applyNumberFormat="1" applyFont="1" applyFill="1" applyBorder="1" applyAlignment="1">
      <x:alignment vertical="top" wrapText="1"/>
    </x:xf>
    <x:xf numFmtId="0" fontId="11" fillId="41" borderId="21" xfId="0" applyNumberFormat="1" applyFont="1" applyFill="1" applyBorder="1" applyAlignment="1">
      <x:alignment horizontal="center" vertical="top" wrapText="1"/>
    </x:xf>
    <x:xf numFmtId="0" fontId="11" fillId="41" borderId="22" xfId="0" applyNumberFormat="1" applyFont="1" applyFill="1" applyBorder="1" applyAlignment="1">
      <x:alignment horizontal="center" vertical="top" wrapText="1"/>
    </x:xf>
    <x:xf numFmtId="0" fontId="11" fillId="41" borderId="22" xfId="0" applyNumberFormat="1" applyFont="1" applyFill="1" applyBorder="1" applyAlignment="1">
      <x:alignment vertical="top" wrapText="1"/>
    </x:xf>
    <x:xf numFmtId="0" fontId="11" fillId="41" borderId="23" xfId="0" applyNumberFormat="1" applyFont="1" applyFill="1" applyBorder="1" applyAlignment="1">
      <x:alignment vertical="top" wrapText="1"/>
    </x:xf>
    <x:xf numFmtId="0" fontId="11" fillId="7" borderId="15" xfId="0" applyNumberFormat="1" applyFont="1" applyFill="1" applyBorder="1" applyAlignment="1">
      <x:alignment horizontal="center" vertical="top" wrapText="1"/>
    </x:xf>
    <x:xf numFmtId="201" fontId="11" fillId="7" borderId="16" xfId="0" applyNumberFormat="1" applyFont="1" applyFill="1" applyBorder="1" applyAlignment="1">
      <x:alignment horizontal="center" vertical="top" wrapText="1"/>
    </x:xf>
    <x:xf numFmtId="0" fontId="11" fillId="7" borderId="16" xfId="0" applyNumberFormat="1" applyFont="1" applyFill="1" applyBorder="1" applyAlignment="1">
      <x:alignment horizontal="center" vertical="top" wrapText="1"/>
    </x:xf>
    <x:xf numFmtId="0" fontId="11" fillId="7" borderId="16" xfId="0" applyNumberFormat="1" applyFont="1" applyFill="1" applyBorder="1" applyAlignment="1">
      <x:alignment vertical="top" wrapText="1"/>
    </x:xf>
    <x:xf numFmtId="0" fontId="11" fillId="7" borderId="17" xfId="0" applyNumberFormat="1" applyFont="1" applyFill="1" applyBorder="1" applyAlignment="1">
      <x:alignment vertical="top" wrapText="1"/>
    </x:xf>
    <x:xf numFmtId="0" fontId="11" fillId="7" borderId="21" xfId="0" applyNumberFormat="1" applyFont="1" applyFill="1" applyBorder="1" applyAlignment="1">
      <x:alignment horizontal="center" vertical="top" wrapText="1"/>
    </x:xf>
    <x:xf numFmtId="201" fontId="11" fillId="7" borderId="22" xfId="0" applyNumberFormat="1" applyFont="1" applyFill="1" applyBorder="1" applyAlignment="1">
      <x:alignment horizontal="center" vertical="top" wrapText="1"/>
    </x:xf>
    <x:xf numFmtId="0" fontId="11" fillId="7" borderId="22" xfId="0" applyNumberFormat="1" applyFont="1" applyFill="1" applyBorder="1" applyAlignment="1">
      <x:alignment horizontal="center" vertical="top" wrapText="1"/>
    </x:xf>
    <x:xf numFmtId="0" fontId="11" fillId="7" borderId="22" xfId="0" applyNumberFormat="1" applyFont="1" applyFill="1" applyBorder="1" applyAlignment="1">
      <x:alignment vertical="top" wrapText="1"/>
    </x:xf>
    <x:xf numFmtId="0" fontId="11" fillId="7" borderId="23" xfId="0" applyNumberFormat="1" applyFont="1" applyFill="1" applyBorder="1" applyAlignment="1">
      <x:alignment vertical="top" wrapText="1"/>
    </x:xf>
    <x:xf numFmtId="0" fontId="11" fillId="7" borderId="17" xfId="0" applyNumberFormat="1" applyFont="1" applyFill="1" applyBorder="1" applyAlignment="1">
      <x:alignment horizontal="center" vertical="top" wrapText="1"/>
    </x:xf>
    <x:xf numFmtId="0" fontId="11" fillId="7" borderId="23" xfId="0" applyNumberFormat="1" applyFont="1" applyFill="1" applyBorder="1" applyAlignment="1">
      <x:alignment horizontal="center" vertical="top" wrapText="1"/>
    </x:xf>
    <x:xf numFmtId="0" fontId="11" fillId="42" borderId="15" xfId="0" applyNumberFormat="1" applyFont="1" applyFill="1" applyBorder="1" applyAlignment="1">
      <x:alignment horizontal="center" vertical="top" wrapText="1"/>
    </x:xf>
    <x:xf numFmtId="201" fontId="11" fillId="42" borderId="16" xfId="0" applyNumberFormat="1" applyFont="1" applyFill="1" applyBorder="1" applyAlignment="1">
      <x:alignment horizontal="center" vertical="top" wrapText="1"/>
    </x:xf>
    <x:xf numFmtId="0" fontId="11" fillId="42" borderId="16" xfId="0" applyNumberFormat="1" applyFont="1" applyFill="1" applyBorder="1" applyAlignment="1">
      <x:alignment horizontal="center" vertical="top" wrapText="1"/>
    </x:xf>
    <x:xf numFmtId="0" fontId="11" fillId="42" borderId="16" xfId="0" applyNumberFormat="1" applyFont="1" applyFill="1" applyBorder="1" applyAlignment="1">
      <x:alignment vertical="top" wrapText="1"/>
    </x:xf>
    <x:xf numFmtId="0" fontId="11" fillId="42" borderId="17" xfId="0" applyNumberFormat="1" applyFont="1" applyFill="1" applyBorder="1" applyAlignment="1">
      <x:alignment horizontal="center" vertical="top" wrapText="1"/>
    </x:xf>
    <x:xf numFmtId="0" fontId="11" fillId="42" borderId="21" xfId="0" applyNumberFormat="1" applyFont="1" applyFill="1" applyBorder="1" applyAlignment="1">
      <x:alignment horizontal="center" vertical="top" wrapText="1"/>
    </x:xf>
    <x:xf numFmtId="201" fontId="11" fillId="42" borderId="22" xfId="0" applyNumberFormat="1" applyFont="1" applyFill="1" applyBorder="1" applyAlignment="1">
      <x:alignment horizontal="center" vertical="top" wrapText="1"/>
    </x:xf>
    <x:xf numFmtId="0" fontId="11" fillId="42" borderId="22" xfId="0" applyNumberFormat="1" applyFont="1" applyFill="1" applyBorder="1" applyAlignment="1">
      <x:alignment horizontal="center" vertical="top" wrapText="1"/>
    </x:xf>
    <x:xf numFmtId="0" fontId="11" fillId="42" borderId="22" xfId="0" applyNumberFormat="1" applyFont="1" applyFill="1" applyBorder="1" applyAlignment="1">
      <x:alignment vertical="top" wrapText="1"/>
    </x:xf>
    <x:xf numFmtId="0" fontId="11" fillId="42" borderId="23" xfId="0" applyNumberFormat="1" applyFont="1" applyFill="1" applyBorder="1" applyAlignment="1">
      <x:alignment horizontal="center" vertical="top" wrapText="1"/>
    </x:xf>
    <x:xf numFmtId="0" fontId="11" fillId="14" borderId="15" xfId="0" applyNumberFormat="1" applyFont="1" applyFill="1" applyBorder="1" applyAlignment="1">
      <x:alignment horizontal="center" vertical="top" wrapText="1"/>
    </x:xf>
    <x:xf numFmtId="0" fontId="11" fillId="38" borderId="15" xfId="0" applyNumberFormat="1" applyFont="1" applyFill="1" applyBorder="1" applyAlignment="1">
      <x:alignment horizontal="center" vertical="top" wrapText="1"/>
    </x:xf>
    <x:xf numFmtId="0" fontId="11" fillId="13" borderId="15" xfId="0" applyNumberFormat="1" applyFont="1" applyFill="1" applyBorder="1" applyAlignment="1">
      <x:alignment horizontal="center" vertical="top" wrapText="1"/>
    </x:xf>
    <x:xf numFmtId="0" fontId="11" fillId="13" borderId="16" xfId="0" applyNumberFormat="1" applyFont="1" applyFill="1" applyBorder="1" applyAlignment="1">
      <x:alignment horizontal="center" vertical="top" wrapText="1"/>
    </x:xf>
    <x:xf numFmtId="0" fontId="11" fillId="13" borderId="16" xfId="0" applyNumberFormat="1" applyFont="1" applyFill="1" applyBorder="1" applyAlignment="1">
      <x:alignment vertical="top" wrapText="1"/>
    </x:xf>
    <x:xf numFmtId="0" fontId="11" fillId="13" borderId="17" xfId="0" applyNumberFormat="1" applyFont="1" applyFill="1" applyBorder="1" applyAlignment="1">
      <x:alignment vertical="top" wrapText="1"/>
    </x:xf>
    <x:xf numFmtId="0" fontId="11" fillId="13" borderId="18" xfId="0" applyNumberFormat="1" applyFont="1" applyFill="1" applyBorder="1" applyAlignment="1">
      <x:alignment horizontal="center" vertical="top" wrapText="1"/>
    </x:xf>
    <x:xf numFmtId="0" fontId="11" fillId="13" borderId="19" xfId="0" applyNumberFormat="1" applyFont="1" applyFill="1" applyBorder="1" applyAlignment="1">
      <x:alignment horizontal="center" vertical="top" wrapText="1"/>
    </x:xf>
    <x:xf numFmtId="0" fontId="11" fillId="13" borderId="19" xfId="0" applyNumberFormat="1" applyFont="1" applyFill="1" applyBorder="1" applyAlignment="1">
      <x:alignment vertical="top" wrapText="1"/>
    </x:xf>
    <x:xf numFmtId="0" fontId="11" fillId="13" borderId="20" xfId="0" applyNumberFormat="1" applyFont="1" applyFill="1" applyBorder="1" applyAlignment="1">
      <x:alignment vertical="top" wrapText="1"/>
    </x:xf>
    <x:xf numFmtId="0" fontId="11" fillId="43" borderId="15" xfId="0" applyNumberFormat="1" applyFont="1" applyFill="1" applyBorder="1" applyAlignment="1">
      <x:alignment horizontal="center" vertical="top" wrapText="1"/>
    </x:xf>
    <x:xf numFmtId="0" fontId="11" fillId="43" borderId="16" xfId="0" applyNumberFormat="1" applyFont="1" applyFill="1" applyBorder="1" applyAlignment="1">
      <x:alignment horizontal="center" vertical="top" wrapText="1"/>
    </x:xf>
    <x:xf numFmtId="0" fontId="11" fillId="43" borderId="16" xfId="0" applyNumberFormat="1" applyFont="1" applyFill="1" applyBorder="1" applyAlignment="1">
      <x:alignment vertical="top" wrapText="1"/>
    </x:xf>
    <x:xf numFmtId="0" fontId="11" fillId="43" borderId="17" xfId="0" applyNumberFormat="1" applyFont="1" applyFill="1" applyBorder="1" applyAlignment="1">
      <x:alignment vertical="top" wrapText="1"/>
    </x:xf>
    <x:xf numFmtId="0" fontId="11" fillId="43" borderId="18" xfId="0" applyNumberFormat="1" applyFont="1" applyFill="1" applyBorder="1" applyAlignment="1">
      <x:alignment horizontal="center" vertical="top" wrapText="1"/>
    </x:xf>
    <x:xf numFmtId="0" fontId="11" fillId="43" borderId="19" xfId="0" applyNumberFormat="1" applyFont="1" applyFill="1" applyBorder="1" applyAlignment="1">
      <x:alignment horizontal="center" vertical="top" wrapText="1"/>
    </x:xf>
    <x:xf numFmtId="0" fontId="11" fillId="43" borderId="19" xfId="0" applyNumberFormat="1" applyFont="1" applyFill="1" applyBorder="1" applyAlignment="1">
      <x:alignment vertical="top" wrapText="1"/>
    </x:xf>
    <x:xf numFmtId="0" fontId="11" fillId="43" borderId="20" xfId="0" applyNumberFormat="1" applyFont="1" applyFill="1" applyBorder="1" applyAlignment="1">
      <x:alignment vertical="top" wrapText="1"/>
    </x:xf>
    <x:xf numFmtId="200" fontId="11" fillId="14" borderId="16" xfId="0" applyNumberFormat="1" applyFont="1" applyFill="1" applyBorder="1" applyAlignment="1">
      <x:alignment horizontal="center" vertical="top" wrapText="1"/>
    </x:xf>
    <x:xf numFmtId="200" fontId="11" fillId="6" borderId="19" xfId="0" applyNumberFormat="1" applyFont="1" applyFill="1" applyBorder="1" applyAlignment="1">
      <x:alignment horizontal="center" vertical="top" wrapText="1"/>
    </x:xf>
    <x:xf numFmtId="200" fontId="11" fillId="14" borderId="19" xfId="0" applyNumberFormat="1" applyFont="1" applyFill="1" applyBorder="1" applyAlignment="1">
      <x:alignment horizontal="center" vertical="top" wrapText="1"/>
    </x:xf>
    <x:xf numFmtId="200" fontId="11" fillId="38" borderId="16" xfId="0" applyNumberFormat="1" applyFont="1" applyFill="1" applyBorder="1" applyAlignment="1">
      <x:alignment horizontal="center" vertical="top" wrapText="1"/>
    </x:xf>
    <x:xf numFmtId="200" fontId="11" fillId="39" borderId="19" xfId="0" applyNumberFormat="1" applyFont="1" applyFill="1" applyBorder="1" applyAlignment="1">
      <x:alignment horizontal="center" vertical="top" wrapText="1"/>
    </x:xf>
    <x:xf numFmtId="200" fontId="11" fillId="38" borderId="19" xfId="0" applyNumberFormat="1" applyFont="1" applyFill="1" applyBorder="1" applyAlignment="1">
      <x:alignment horizontal="center" vertical="top" wrapText="1"/>
    </x:xf>
    <x:xf numFmtId="0" fontId="10" fillId="4" borderId="15" xfId="0" applyNumberFormat="1" applyFont="1" applyFill="1" applyBorder="1" applyAlignment="1">
      <x:alignment vertical="top" wrapText="1"/>
    </x:xf>
    <x:xf numFmtId="0" fontId="11" fillId="4" borderId="16" xfId="0" applyNumberFormat="1" applyFont="1" applyFill="1" applyBorder="1" applyAlignment="1">
      <x:alignment vertical="top" wrapText="1"/>
    </x:xf>
    <x:xf numFmtId="0" fontId="11" fillId="4" borderId="17" xfId="0" applyNumberFormat="1" applyFont="1" applyFill="1" applyBorder="1" applyAlignment="1">
      <x:alignment vertical="top" wrapText="1"/>
    </x:xf>
    <x:xf numFmtId="0" fontId="10" fillId="6" borderId="18" xfId="0" applyNumberFormat="1" applyFont="1" applyFill="1" applyBorder="1" applyAlignment="1">
      <x:alignment vertical="top" wrapText="1"/>
    </x:xf>
    <x:xf numFmtId="0" fontId="10" fillId="4" borderId="18" xfId="0" applyNumberFormat="1" applyFont="1" applyFill="1" applyBorder="1" applyAlignment="1">
      <x:alignment vertical="top" wrapText="1"/>
    </x:xf>
    <x:xf numFmtId="0" fontId="11" fillId="4" borderId="19" xfId="0" applyNumberFormat="1" applyFont="1" applyFill="1" applyBorder="1" applyAlignment="1">
      <x:alignment vertical="top" wrapText="1"/>
    </x:xf>
    <x:xf numFmtId="0" fontId="11" fillId="4" borderId="20" xfId="0" applyNumberFormat="1" applyFont="1" applyFill="1" applyBorder="1" applyAlignment="1">
      <x:alignment vertical="top" wrapText="1"/>
    </x:xf>
    <x:xf numFmtId="0" fontId="10" fillId="6" borderId="21" xfId="0" applyNumberFormat="1" applyFont="1" applyFill="1" applyBorder="1" applyAlignment="1">
      <x:alignment vertical="top" wrapText="1"/>
    </x:xf>
    <x:xf numFmtId="0" fontId="6" fillId="44" borderId="1" xfId="0" applyNumberFormat="1" applyFont="1" applyFill="1" applyBorder="1" applyAlignment="1">
      <x:alignment horizontal="center" vertical="center" wrapText="1"/>
    </x:xf>
    <x:xf numFmtId="0" fontId="19" fillId="44" borderId="1" xfId="0" applyNumberFormat="1" applyFont="1" applyFill="1" applyBorder="1" applyAlignment="1">
      <x:alignment horizontal="center" vertical="center" wrapText="1"/>
    </x:xf>
    <x:xf numFmtId="0" fontId="9" fillId="13" borderId="10" xfId="0" applyNumberFormat="1" applyFont="1" applyFill="1" applyBorder="1" applyAlignment="1">
      <x:alignment wrapText="1"/>
    </x:xf>
    <x:xf numFmtId="0" fontId="4" fillId="45" borderId="10" xfId="0" applyNumberFormat="1" applyFont="1" applyFill="1" applyBorder="1" applyAlignment="1">
      <x:alignment vertical="top" wrapText="1"/>
    </x:xf>
    <x:xf numFmtId="0" fontId="0" fillId="45" borderId="10" xfId="0" applyNumberFormat="1" applyFont="1" applyFill="1" applyBorder="1"/>
    <x:xf numFmtId="0" fontId="9" fillId="45" borderId="10" xfId="0" applyNumberFormat="1" applyFont="1" applyFill="1" applyBorder="1" applyAlignment="1">
      <x:alignment wrapText="1"/>
    </x:xf>
    <x:xf numFmtId="0" fontId="12" fillId="13" borderId="10" xfId="0" applyNumberFormat="1" applyFont="1" applyFill="1" applyBorder="1" applyAlignment="1">
      <x:alignment wrapText="1"/>
    </x:xf>
    <x:xf numFmtId="0" fontId="12" fillId="13" borderId="10" xfId="0" applyNumberFormat="1" applyFont="1" applyFill="1" applyBorder="1" applyAlignment="1">
      <x:alignment horizontal="center" wrapText="1"/>
    </x:xf>
    <x:xf numFmtId="0" fontId="8" fillId="40" borderId="2" xfId="0" applyNumberFormat="1" applyFont="1" applyFill="1" applyBorder="1" applyAlignment="1">
      <x:alignment vertical="top" wrapText="1"/>
    </x:xf>
    <x:xf numFmtId="0" fontId="8" fillId="40" borderId="3" xfId="0" applyNumberFormat="1" applyFont="1" applyFill="1" applyBorder="1" applyAlignment="1">
      <x:alignment vertical="top" wrapText="1"/>
    </x:xf>
    <x:xf numFmtId="0" fontId="8" fillId="40" borderId="4" xfId="0" applyNumberFormat="1" applyFont="1" applyFill="1" applyBorder="1" applyAlignment="1">
      <x:alignment vertical="top" wrapText="1"/>
    </x:xf>
    <x:xf numFmtId="0" fontId="8" fillId="40" borderId="5" xfId="0" applyNumberFormat="1" applyFont="1" applyFill="1" applyBorder="1" applyAlignment="1">
      <x:alignment vertical="top" wrapText="1"/>
    </x:xf>
    <x:xf numFmtId="0" fontId="8" fillId="40" borderId="0" xfId="0" applyNumberFormat="1" applyFont="1" applyFill="1" applyBorder="1" applyAlignment="1">
      <x:alignment vertical="top" wrapText="1"/>
    </x:xf>
    <x:xf numFmtId="0" fontId="8" fillId="40" borderId="6" xfId="0" applyNumberFormat="1" applyFont="1" applyFill="1" applyBorder="1" applyAlignment="1">
      <x:alignment vertical="top" wrapText="1"/>
    </x:xf>
    <x:xf numFmtId="0" fontId="8" fillId="40" borderId="7" xfId="0" applyNumberFormat="1" applyFont="1" applyFill="1" applyBorder="1" applyAlignment="1">
      <x:alignment vertical="top" wrapText="1"/>
    </x:xf>
    <x:xf numFmtId="0" fontId="8" fillId="40" borderId="8" xfId="0" applyNumberFormat="1" applyFont="1" applyFill="1" applyBorder="1" applyAlignment="1">
      <x:alignment vertical="top" wrapText="1"/>
    </x:xf>
    <x:xf numFmtId="0" fontId="8" fillId="40" borderId="9" xfId="0" applyNumberFormat="1" applyFont="1" applyFill="1" applyBorder="1" applyAlignment="1">
      <x:alignment vertical="top" wrapText="1"/>
    </x:xf>
    <x:xf numFmtId="0" fontId="0" fillId="40" borderId="0" xfId="0" applyNumberFormat="1" applyFont="1" applyFill="1" applyBorder="1"/>
    <x:xf numFmtId="0" fontId="20" fillId="40" borderId="2" xfId="0" applyNumberFormat="1" applyFont="1" applyFill="1" applyBorder="1" applyAlignment="1">
      <x:alignment vertical="top" wrapText="1"/>
    </x:xf>
    <x:xf numFmtId="0" fontId="20" fillId="40" borderId="3" xfId="0" applyNumberFormat="1" applyFont="1" applyFill="1" applyBorder="1" applyAlignment="1">
      <x:alignment vertical="top" wrapText="1"/>
    </x:xf>
    <x:xf numFmtId="0" fontId="20" fillId="40" borderId="4" xfId="0" applyNumberFormat="1" applyFont="1" applyFill="1" applyBorder="1" applyAlignment="1">
      <x:alignment vertical="top" wrapText="1"/>
    </x:xf>
    <x:xf numFmtId="0" fontId="20" fillId="40" borderId="5" xfId="0" applyNumberFormat="1" applyFont="1" applyFill="1" applyBorder="1" applyAlignment="1">
      <x:alignment vertical="top" wrapText="1"/>
    </x:xf>
    <x:xf numFmtId="0" fontId="20" fillId="40" borderId="0" xfId="0" applyNumberFormat="1" applyFont="1" applyFill="1" applyBorder="1" applyAlignment="1">
      <x:alignment vertical="top" wrapText="1"/>
    </x:xf>
    <x:xf numFmtId="0" fontId="20" fillId="40" borderId="6" xfId="0" applyNumberFormat="1" applyFont="1" applyFill="1" applyBorder="1" applyAlignment="1">
      <x:alignment vertical="top" wrapText="1"/>
    </x:xf>
    <x:xf numFmtId="0" fontId="20" fillId="40" borderId="7" xfId="0" applyNumberFormat="1" applyFont="1" applyFill="1" applyBorder="1" applyAlignment="1">
      <x:alignment vertical="top" wrapText="1"/>
    </x:xf>
    <x:xf numFmtId="0" fontId="20" fillId="40" borderId="8" xfId="0" applyNumberFormat="1" applyFont="1" applyFill="1" applyBorder="1" applyAlignment="1">
      <x:alignment vertical="top" wrapText="1"/>
    </x:xf>
    <x:xf numFmtId="0" fontId="20" fillId="40" borderId="9" xfId="0" applyNumberFormat="1" applyFont="1" applyFill="1" applyBorder="1" applyAlignment="1">
      <x:alignment vertical="top" wrapText="1"/>
    </x:xf>
    <x:xf numFmtId="0" fontId="20" fillId="40" borderId="0" xfId="0" applyNumberFormat="1" applyFont="1" applyFill="1" applyBorder="1"/>
    <x:xf numFmtId="0" fontId="20" fillId="40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21" fillId="43" borderId="0" xfId="0" applyNumberFormat="1" applyFont="1" applyFill="1" applyBorder="1"/>
    <x:xf numFmtId="0" fontId="21" fillId="43" borderId="0" xfId="0" applyNumberFormat="1" applyFont="1" applyFill="1" applyBorder="1" applyAlignment="1">
      <x:alignment wrapText="1"/>
    </x:xf>
    <x:xf numFmtId="0" fontId="21" fillId="43" borderId="0" xfId="0" applyNumberFormat="1" applyFont="1" applyFill="1" applyBorder="1" applyAlignment="1">
      <x:alignment vertical="center" wrapText="1"/>
    </x:xf>
    <x:xf numFmtId="0" fontId="3" fillId="46" borderId="1" xfId="0" applyNumberFormat="1" applyFont="1" applyFill="1" applyBorder="1" applyAlignment="1">
      <x:alignment horizontal="center" vertical="center" wrapText="1"/>
    </x:xf>
    <x:xf numFmtId="0" fontId="10" fillId="47" borderId="15" xfId="0" applyNumberFormat="1" applyFont="1" applyFill="1" applyBorder="1" applyAlignment="1">
      <x:alignment horizontal="center" vertical="top" wrapText="1"/>
    </x:xf>
    <x:xf numFmtId="0" fontId="11" fillId="47" borderId="16" xfId="0" applyNumberFormat="1" applyFont="1" applyFill="1" applyBorder="1" applyAlignment="1">
      <x:alignment horizontal="center" vertical="top" wrapText="1"/>
    </x:xf>
    <x:xf numFmtId="201" fontId="11" fillId="47" borderId="16" xfId="0" applyNumberFormat="1" applyFont="1" applyFill="1" applyBorder="1" applyAlignment="1">
      <x:alignment horizontal="center" vertical="top" wrapText="1"/>
    </x:xf>
    <x:xf numFmtId="0" fontId="11" fillId="47" borderId="16" xfId="0" applyNumberFormat="1" applyFont="1" applyFill="1" applyBorder="1" applyAlignment="1">
      <x:alignment vertical="top" wrapText="1"/>
    </x:xf>
    <x:xf numFmtId="0" fontId="11" fillId="47" borderId="17" xfId="0" applyNumberFormat="1" applyFont="1" applyFill="1" applyBorder="1" applyAlignment="1">
      <x:alignment vertical="top" wrapText="1"/>
    </x:xf>
    <x:xf numFmtId="0" fontId="11" fillId="48" borderId="18" xfId="0" applyNumberFormat="1" applyFont="1" applyFill="1" applyBorder="1" applyAlignment="1">
      <x:alignment horizontal="center" vertical="top" wrapText="1"/>
    </x:xf>
    <x:xf numFmtId="0" fontId="11" fillId="48" borderId="19" xfId="0" applyNumberFormat="1" applyFont="1" applyFill="1" applyBorder="1" applyAlignment="1">
      <x:alignment horizontal="center" vertical="top" wrapText="1"/>
    </x:xf>
    <x:xf numFmtId="201" fontId="11" fillId="48" borderId="19" xfId="0" applyNumberFormat="1" applyFont="1" applyFill="1" applyBorder="1" applyAlignment="1">
      <x:alignment horizontal="center" vertical="top" wrapText="1"/>
    </x:xf>
    <x:xf numFmtId="0" fontId="11" fillId="48" borderId="19" xfId="0" applyNumberFormat="1" applyFont="1" applyFill="1" applyBorder="1" applyAlignment="1">
      <x:alignment vertical="top" wrapText="1"/>
    </x:xf>
    <x:xf numFmtId="0" fontId="11" fillId="48" borderId="20" xfId="0" applyNumberFormat="1" applyFont="1" applyFill="1" applyBorder="1" applyAlignment="1">
      <x:alignment vertical="top" wrapText="1"/>
    </x:xf>
    <x:xf numFmtId="0" fontId="10" fillId="47" borderId="18" xfId="0" applyNumberFormat="1" applyFont="1" applyFill="1" applyBorder="1" applyAlignment="1">
      <x:alignment horizontal="center" vertical="top" wrapText="1"/>
    </x:xf>
    <x:xf numFmtId="0" fontId="11" fillId="47" borderId="19" xfId="0" applyNumberFormat="1" applyFont="1" applyFill="1" applyBorder="1" applyAlignment="1">
      <x:alignment horizontal="center" vertical="top" wrapText="1"/>
    </x:xf>
    <x:xf numFmtId="201" fontId="11" fillId="47" borderId="19" xfId="0" applyNumberFormat="1" applyFont="1" applyFill="1" applyBorder="1" applyAlignment="1">
      <x:alignment horizontal="center" vertical="top" wrapText="1"/>
    </x:xf>
    <x:xf numFmtId="0" fontId="11" fillId="47" borderId="19" xfId="0" applyNumberFormat="1" applyFont="1" applyFill="1" applyBorder="1" applyAlignment="1">
      <x:alignment vertical="top" wrapText="1"/>
    </x:xf>
    <x:xf numFmtId="0" fontId="11" fillId="47" borderId="20" xfId="0" applyNumberFormat="1" applyFont="1" applyFill="1" applyBorder="1" applyAlignment="1">
      <x:alignment vertical="top" wrapText="1"/>
    </x:xf>
    <x:xf numFmtId="0" fontId="10" fillId="48" borderId="18" xfId="0" applyNumberFormat="1" applyFont="1" applyFill="1" applyBorder="1" applyAlignment="1">
      <x:alignment horizontal="center" vertical="top" wrapText="1"/>
    </x:xf>
    <x:xf numFmtId="0" fontId="11" fillId="47" borderId="18" xfId="0" applyNumberFormat="1" applyFont="1" applyFill="1" applyBorder="1" applyAlignment="1">
      <x:alignment horizontal="center" vertical="top" wrapText="1"/>
    </x:xf>
    <x:xf numFmtId="0" fontId="11" fillId="48" borderId="21" xfId="0" applyNumberFormat="1" applyFont="1" applyFill="1" applyBorder="1" applyAlignment="1">
      <x:alignment horizontal="center" vertical="top" wrapText="1"/>
    </x:xf>
    <x:xf numFmtId="0" fontId="11" fillId="48" borderId="22" xfId="0" applyNumberFormat="1" applyFont="1" applyFill="1" applyBorder="1" applyAlignment="1">
      <x:alignment horizontal="center" vertical="top" wrapText="1"/>
    </x:xf>
    <x:xf numFmtId="201" fontId="11" fillId="48" borderId="22" xfId="0" applyNumberFormat="1" applyFont="1" applyFill="1" applyBorder="1" applyAlignment="1">
      <x:alignment horizontal="center" vertical="top" wrapText="1"/>
    </x:xf>
    <x:xf numFmtId="0" fontId="11" fillId="48" borderId="22" xfId="0" applyNumberFormat="1" applyFont="1" applyFill="1" applyBorder="1" applyAlignment="1">
      <x:alignment vertical="top" wrapText="1"/>
    </x:xf>
    <x:xf numFmtId="0" fontId="11" fillId="48" borderId="23" xfId="0" applyNumberFormat="1" applyFont="1" applyFill="1" applyBorder="1" applyAlignment="1">
      <x:alignment vertical="top" wrapText="1"/>
    </x:xf>
    <x:xf numFmtId="0" fontId="11" fillId="47" borderId="0" xfId="0" applyNumberFormat="1" applyFont="1" applyFill="1" applyBorder="1" applyAlignment="1">
      <x:alignment horizontal="center" vertical="top" wrapText="1"/>
    </x:xf>
    <x:xf numFmtId="201" fontId="11" fillId="47" borderId="0" xfId="0" applyNumberFormat="1" applyFont="1" applyFill="1" applyBorder="1" applyAlignment="1">
      <x:alignment horizontal="center" vertical="top" wrapText="1"/>
    </x:xf>
    <x:xf numFmtId="0" fontId="11" fillId="47" borderId="0" xfId="0" applyNumberFormat="1" applyFont="1" applyFill="1" applyBorder="1" applyAlignment="1">
      <x:alignment vertical="top" wrapText="1"/>
    </x:xf>
    <x:xf numFmtId="0" fontId="11" fillId="48" borderId="0" xfId="0" applyNumberFormat="1" applyFont="1" applyFill="1" applyBorder="1" applyAlignment="1">
      <x:alignment horizontal="center" vertical="top" wrapText="1"/>
    </x:xf>
    <x:xf numFmtId="201" fontId="11" fillId="48" borderId="0" xfId="0" applyNumberFormat="1" applyFont="1" applyFill="1" applyBorder="1" applyAlignment="1">
      <x:alignment horizontal="center" vertical="top" wrapText="1"/>
    </x:xf>
    <x:xf numFmtId="0" fontId="11" fillId="48" borderId="0" xfId="0" applyNumberFormat="1" applyFont="1" applyFill="1" applyBorder="1" applyAlignment="1">
      <x:alignment vertical="top" wrapText="1"/>
    </x:xf>
    <x:xf numFmtId="0" fontId="11" fillId="49" borderId="15" xfId="0" applyNumberFormat="1" applyFont="1" applyFill="1" applyBorder="1" applyAlignment="1">
      <x:alignment horizontal="center" vertical="top" wrapText="1"/>
    </x:xf>
    <x:xf numFmtId="201" fontId="11" fillId="49" borderId="16" xfId="0" applyNumberFormat="1" applyFont="1" applyFill="1" applyBorder="1" applyAlignment="1">
      <x:alignment horizontal="center" vertical="top" wrapText="1"/>
    </x:xf>
    <x:xf numFmtId="0" fontId="11" fillId="49" borderId="16" xfId="0" applyNumberFormat="1" applyFont="1" applyFill="1" applyBorder="1" applyAlignment="1">
      <x:alignment horizontal="center" vertical="top" wrapText="1"/>
    </x:xf>
    <x:xf numFmtId="0" fontId="11" fillId="49" borderId="16" xfId="0" applyNumberFormat="1" applyFont="1" applyFill="1" applyBorder="1" applyAlignment="1">
      <x:alignment vertical="top" wrapText="1"/>
    </x:xf>
    <x:xf numFmtId="0" fontId="11" fillId="49" borderId="17" xfId="0" applyNumberFormat="1" applyFont="1" applyFill="1" applyBorder="1" applyAlignment="1">
      <x:alignment horizontal="center" vertical="top" wrapText="1"/>
    </x:xf>
    <x:xf numFmtId="0" fontId="11" fillId="47" borderId="15" xfId="0" applyNumberFormat="1" applyFont="1" applyFill="1" applyBorder="1" applyAlignment="1">
      <x:alignment horizontal="center" vertical="top" wrapText="1"/>
    </x:xf>
    <x:xf numFmtId="0" fontId="11" fillId="50" borderId="15" xfId="0" applyNumberFormat="1" applyFont="1" applyFill="1" applyBorder="1" applyAlignment="1">
      <x:alignment horizontal="center" vertical="top" wrapText="1"/>
    </x:xf>
    <x:xf numFmtId="0" fontId="11" fillId="50" borderId="16" xfId="0" applyNumberFormat="1" applyFont="1" applyFill="1" applyBorder="1" applyAlignment="1">
      <x:alignment horizontal="center" vertical="top" wrapText="1"/>
    </x:xf>
    <x:xf numFmtId="0" fontId="11" fillId="50" borderId="16" xfId="0" applyNumberFormat="1" applyFont="1" applyFill="1" applyBorder="1" applyAlignment="1">
      <x:alignment vertical="top" wrapText="1"/>
    </x:xf>
    <x:xf numFmtId="0" fontId="11" fillId="50" borderId="17" xfId="0" applyNumberFormat="1" applyFont="1" applyFill="1" applyBorder="1" applyAlignment="1">
      <x:alignment vertical="top" wrapText="1"/>
    </x:xf>
    <x:xf numFmtId="0" fontId="11" fillId="50" borderId="18" xfId="0" applyNumberFormat="1" applyFont="1" applyFill="1" applyBorder="1" applyAlignment="1">
      <x:alignment horizontal="center" vertical="top" wrapText="1"/>
    </x:xf>
    <x:xf numFmtId="0" fontId="11" fillId="50" borderId="19" xfId="0" applyNumberFormat="1" applyFont="1" applyFill="1" applyBorder="1" applyAlignment="1">
      <x:alignment horizontal="center" vertical="top" wrapText="1"/>
    </x:xf>
    <x:xf numFmtId="0" fontId="11" fillId="50" borderId="19" xfId="0" applyNumberFormat="1" applyFont="1" applyFill="1" applyBorder="1" applyAlignment="1">
      <x:alignment vertical="top" wrapText="1"/>
    </x:xf>
    <x:xf numFmtId="0" fontId="11" fillId="50" borderId="20" xfId="0" applyNumberFormat="1" applyFont="1" applyFill="1" applyBorder="1" applyAlignment="1">
      <x:alignment vertical="top" wrapText="1"/>
    </x:xf>
    <x:xf numFmtId="0" fontId="11" fillId="50" borderId="0" xfId="0" applyNumberFormat="1" applyFont="1" applyFill="1" applyBorder="1" applyAlignment="1">
      <x:alignment horizontal="center" vertical="top" wrapText="1"/>
    </x:xf>
    <x:xf numFmtId="0" fontId="11" fillId="50" borderId="0" xfId="0" applyNumberFormat="1" applyFont="1" applyFill="1" applyBorder="1" applyAlignment="1">
      <x:alignment vertical="top" wrapText="1"/>
    </x:xf>
    <x:xf numFmtId="200" fontId="11" fillId="47" borderId="16" xfId="0" applyNumberFormat="1" applyFont="1" applyFill="1" applyBorder="1" applyAlignment="1">
      <x:alignment horizontal="center" vertical="top" wrapText="1"/>
    </x:xf>
    <x:xf numFmtId="200" fontId="11" fillId="48" borderId="19" xfId="0" applyNumberFormat="1" applyFont="1" applyFill="1" applyBorder="1" applyAlignment="1">
      <x:alignment horizontal="center" vertical="top" wrapText="1"/>
    </x:xf>
    <x:xf numFmtId="200" fontId="11" fillId="47" borderId="19" xfId="0" applyNumberFormat="1" applyFont="1" applyFill="1" applyBorder="1" applyAlignment="1">
      <x:alignment horizontal="center" vertical="top" wrapText="1"/>
    </x:xf>
    <x:xf numFmtId="0" fontId="1" fillId="51" borderId="0" xfId="0" applyNumberFormat="1" applyFont="1" applyFill="1" applyBorder="1" applyAlignment="1">
      <x:alignment horizontal="left" vertical="center"/>
    </x:xf>
    <x:xf numFmtId="0" fontId="14" fillId="47" borderId="11" xfId="0" applyNumberFormat="1" applyFont="1" applyFill="1" applyBorder="1" applyAlignment="1">
      <x:alignment vertical="center" wrapText="1"/>
    </x:xf>
    <x:xf numFmtId="202" fontId="13" fillId="47" borderId="11" xfId="0" applyNumberFormat="1" applyFont="1" applyFill="1" applyBorder="1" applyAlignment="1">
      <x:alignment vertical="center" wrapText="1"/>
    </x:xf>
    <x:xf numFmtId="0" fontId="13" fillId="47" borderId="11" xfId="0" applyNumberFormat="1" applyFont="1" applyFill="1" applyBorder="1" applyAlignment="1">
      <x:alignment vertical="center" wrapText="1"/>
    </x:xf>
    <x:xf numFmtId="0" fontId="15" fillId="52" borderId="0" xfId="0" applyNumberFormat="1" applyFont="1" applyFill="1" applyBorder="1" applyAlignment="1">
      <x:alignment vertical="center" wrapText="1"/>
    </x:xf>
    <x:xf numFmtId="0" fontId="16" fillId="47" borderId="11" xfId="0" applyNumberFormat="1" applyFont="1" applyFill="1" applyBorder="1" applyAlignment="1">
      <x:alignment horizontal="center" vertical="center"/>
    </x:xf>
    <x:xf numFmtId="0" fontId="16" fillId="48" borderId="11" xfId="0" applyNumberFormat="1" applyFont="1" applyFill="1" applyBorder="1" applyAlignment="1">
      <x:alignment horizontal="center" vertical="center"/>
    </x:xf>
    <x:xf numFmtId="203" fontId="16" fillId="48" borderId="11" xfId="0" applyNumberFormat="1" applyFont="1" applyFill="1" applyBorder="1" applyAlignment="1">
      <x:alignment horizontal="center" vertical="center"/>
    </x:xf>
    <x:xf numFmtId="0" fontId="17" fillId="53" borderId="12" xfId="0" applyNumberFormat="1" applyFont="1" applyFill="1" applyBorder="1" applyAlignment="1">
      <x:alignment vertical="center" wrapText="1"/>
    </x:xf>
    <x:xf numFmtId="0" fontId="18" fillId="54" borderId="13" xfId="0" applyNumberFormat="1" applyFont="1" applyFill="1" applyBorder="1" applyAlignment="1">
      <x:alignment horizontal="center" vertical="center" wrapText="1"/>
    </x:xf>
    <x:xf numFmtId="0" fontId="11" fillId="55" borderId="14" xfId="0" applyNumberFormat="1" applyFont="1" applyFill="1" applyBorder="1" applyAlignment="1">
      <x:alignment vertical="top" wrapText="1"/>
    </x:xf>
    <x:xf numFmtId="202" fontId="11" fillId="55" borderId="14" xfId="0" applyNumberFormat="1" applyFont="1" applyFill="1" applyBorder="1" applyAlignment="1">
      <x:alignment vertical="top" wrapText="1"/>
    </x:xf>
    <x:xf numFmtId="0" fontId="11" fillId="55" borderId="14" xfId="0" applyNumberFormat="1" applyFont="1" applyFill="1" applyBorder="1" applyAlignment="1">
      <x:alignment horizontal="center" vertical="top" wrapText="1"/>
    </x:xf>
    <x:xf numFmtId="0" fontId="11" fillId="48" borderId="14" xfId="0" applyNumberFormat="1" applyFont="1" applyFill="1" applyBorder="1" applyAlignment="1">
      <x:alignment vertical="top" wrapText="1"/>
    </x:xf>
    <x:xf numFmtId="202" fontId="11" fillId="48" borderId="14" xfId="0" applyNumberFormat="1" applyFont="1" applyFill="1" applyBorder="1" applyAlignment="1">
      <x:alignment vertical="top" wrapText="1"/>
    </x:xf>
    <x:xf numFmtId="0" fontId="11" fillId="48" borderId="14" xfId="0" applyNumberFormat="1" applyFont="1" applyFill="1" applyBorder="1" applyAlignment="1">
      <x:alignment horizontal="center" vertical="top" wrapText="1"/>
    </x:xf>
    <x:xf numFmtId="0" fontId="0" fillId="51" borderId="0" xfId="0" applyNumberFormat="1" applyFont="1" applyFill="1" applyBorder="1"/>
    <x:xf numFmtId="0" fontId="1" fillId="51" borderId="0" xfId="0" applyNumberFormat="1" applyFont="1" applyFill="1" applyBorder="1"/>
    <x:xf numFmtId="0" fontId="1" fillId="51" borderId="0" xfId="0" applyNumberFormat="1" applyFont="1" applyFill="1" applyBorder="1" applyAlignment="1">
      <x:alignment vertical="center"/>
    </x:xf>
    <x:xf numFmtId="0" fontId="0" fillId="47" borderId="0" xfId="0" applyNumberFormat="1" applyFont="1" applyFill="1" applyBorder="1"/>
    <x:xf numFmtId="0" fontId="13" fillId="47" borderId="0" xfId="0" applyNumberFormat="1" applyFont="1" applyFill="1" applyBorder="1"/>
    <x:xf numFmtId="0" fontId="13" fillId="47" borderId="0" xfId="0" applyNumberFormat="1" applyFont="1" applyFill="1" applyBorder="1" applyAlignment="1">
      <x:alignment wrapText="1"/>
    </x:xf>
    <x:xf numFmtId="0" fontId="13" fillId="47" borderId="0" xfId="0" applyNumberFormat="1" applyFont="1" applyFill="1" applyBorder="1" applyAlignment="1">
      <x:alignment vertical="center" wrapText="1"/>
    </x:xf>
    <x:xf numFmtId="0" fontId="3" fillId="46" borderId="0" xfId="0" applyNumberFormat="1" applyFont="1" applyFill="1" applyBorder="1" applyAlignment="1">
      <x:alignment horizontal="center" vertical="center" wrapText="1"/>
    </x:xf>
    <x:xf numFmtId="0" fontId="11" fillId="55" borderId="0" xfId="0" applyNumberFormat="1" applyFont="1" applyFill="1" applyBorder="1" applyAlignment="1">
      <x:alignment vertical="top" wrapText="1"/>
    </x:xf>
    <x:xf numFmtId="0" fontId="11" fillId="55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1" fillId="25" borderId="0" xfId="0" applyNumberFormat="1" applyFont="1" applyFill="1" applyBorder="1" applyAlignment="1">
      <x:alignment horizontal="center"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18" borderId="10" xfId="0" applyNumberFormat="1" applyFont="1" applyFill="1" applyBorder="1" applyAlignment="1">
      <x:alignment wrapText="1"/>
    </x:xf>
    <x:xf numFmtId="0" fontId="21" fillId="13" borderId="10" xfId="0" applyNumberFormat="1" applyFont="1" applyFill="1" applyBorder="1" applyAlignment="1">
      <x:alignment vertical="center" wrapText="1"/>
    </x:xf>
    <x:xf numFmtId="0" fontId="4" fillId="56" borderId="10" xfId="0" applyNumberFormat="1" applyFont="1" applyFill="1" applyBorder="1" applyAlignment="1">
      <x:alignment vertical="top" wrapText="1"/>
    </x:xf>
    <x:xf numFmtId="0" fontId="0" fillId="56" borderId="10" xfId="0" applyNumberFormat="1" applyFont="1" applyFill="1" applyBorder="1"/>
    <x:xf numFmtId="0" fontId="9" fillId="56" borderId="10" xfId="0" applyNumberFormat="1" applyFont="1" applyFill="1" applyBorder="1" applyAlignment="1">
      <x:alignment wrapText="1"/>
    </x:xf>
    <x:xf numFmtId="0" fontId="21" fillId="56" borderId="10" xfId="0" applyNumberFormat="1" applyFont="1" applyFill="1" applyBorder="1" applyAlignment="1">
      <x:alignment vertical="center" wrapText="1"/>
    </x:xf>
    <x:xf numFmtId="0" fontId="12" fillId="13" borderId="10" xfId="0" applyNumberFormat="1" applyFont="1" applyFill="1" applyBorder="1" applyAlignment="1">
      <x:alignment vertical="center" wrapText="1"/>
    </x:xf>
    <x:xf numFmtId="0" fontId="12" fillId="13" borderId="10" xfId="0" applyNumberFormat="1" applyFont="1" applyFill="1" applyBorder="1" applyAlignment="1">
      <x:alignment horizontal="center" vertical="center" wrapText="1"/>
    </x:xf>
    <x:xf numFmtId="0" fontId="20" fillId="8" borderId="2" xfId="0" applyNumberFormat="1" applyFont="1" applyFill="1" applyBorder="1" applyAlignment="1">
      <x:alignment vertical="top" wrapText="1"/>
    </x:xf>
    <x:xf numFmtId="0" fontId="20" fillId="8" borderId="3" xfId="0" applyNumberFormat="1" applyFont="1" applyFill="1" applyBorder="1" applyAlignment="1">
      <x:alignment vertical="top" wrapText="1"/>
    </x:xf>
    <x:xf numFmtId="0" fontId="20" fillId="8" borderId="4" xfId="0" applyNumberFormat="1" applyFont="1" applyFill="1" applyBorder="1" applyAlignment="1">
      <x:alignment vertical="top" wrapText="1"/>
    </x:xf>
    <x:xf numFmtId="0" fontId="20" fillId="8" borderId="5" xfId="0" applyNumberFormat="1" applyFont="1" applyFill="1" applyBorder="1" applyAlignment="1">
      <x:alignment vertical="top" wrapText="1"/>
    </x:xf>
    <x:xf numFmtId="0" fontId="20" fillId="8" borderId="0" xfId="0" applyNumberFormat="1" applyFont="1" applyFill="1" applyBorder="1" applyAlignment="1">
      <x:alignment vertical="top" wrapText="1"/>
    </x:xf>
    <x:xf numFmtId="0" fontId="20" fillId="8" borderId="6" xfId="0" applyNumberFormat="1" applyFont="1" applyFill="1" applyBorder="1" applyAlignment="1">
      <x:alignment vertical="top" wrapText="1"/>
    </x:xf>
    <x:xf numFmtId="0" fontId="20" fillId="8" borderId="7" xfId="0" applyNumberFormat="1" applyFont="1" applyFill="1" applyBorder="1" applyAlignment="1">
      <x:alignment vertical="top" wrapText="1"/>
    </x:xf>
    <x:xf numFmtId="0" fontId="20" fillId="8" borderId="8" xfId="0" applyNumberFormat="1" applyFont="1" applyFill="1" applyBorder="1" applyAlignment="1">
      <x:alignment vertical="top" wrapText="1"/>
    </x:xf>
    <x:xf numFmtId="0" fontId="20" fillId="8" borderId="9" xfId="0" applyNumberFormat="1" applyFont="1" applyFill="1" applyBorder="1" applyAlignment="1">
      <x:alignment vertical="top" wrapText="1"/>
    </x:xf>
    <x:xf numFmtId="0" fontId="22" fillId="56" borderId="10" xfId="0" applyNumberFormat="1" applyFont="1" applyFill="1" applyBorder="1" applyAlignment="1">
      <x:alignment vertical="top" wrapText="1"/>
    </x:xf>
    <x:xf numFmtId="0" fontId="22" fillId="56" borderId="10" xfId="0" applyNumberFormat="1" applyFont="1" applyFill="1" applyBorder="1"/>
    <x:xf numFmtId="0" fontId="22" fillId="56" borderId="10" xfId="0" applyNumberFormat="1" applyFont="1" applyFill="1" applyBorder="1" applyAlignment="1">
      <x:alignment wrapText="1"/>
    </x:xf>
    <x:xf numFmtId="0" fontId="22" fillId="56" borderId="10" xfId="0" applyNumberFormat="1" applyFont="1" applyFill="1" applyBorder="1" applyAlignment="1">
      <x:alignment vertical="center" wrapText="1"/>
    </x:xf>
    <x:xf numFmtId="0" fontId="3" fillId="57" borderId="1" xfId="0" applyNumberFormat="1" applyFont="1" applyFill="1" applyBorder="1" applyAlignment="1">
      <x:alignment horizontal="center" vertical="center" wrapText="1"/>
    </x:xf>
    <x:xf numFmtId="0" fontId="10" fillId="58" borderId="15" xfId="0" applyNumberFormat="1" applyFont="1" applyFill="1" applyBorder="1" applyAlignment="1">
      <x:alignment horizontal="center" vertical="top" wrapText="1"/>
    </x:xf>
    <x:xf numFmtId="0" fontId="11" fillId="58" borderId="16" xfId="0" applyNumberFormat="1" applyFont="1" applyFill="1" applyBorder="1" applyAlignment="1">
      <x:alignment horizontal="center" vertical="top" wrapText="1"/>
    </x:xf>
    <x:xf numFmtId="201" fontId="11" fillId="58" borderId="16" xfId="0" applyNumberFormat="1" applyFont="1" applyFill="1" applyBorder="1" applyAlignment="1">
      <x:alignment horizontal="center" vertical="top" wrapText="1"/>
    </x:xf>
    <x:xf numFmtId="0" fontId="11" fillId="58" borderId="16" xfId="0" applyNumberFormat="1" applyFont="1" applyFill="1" applyBorder="1" applyAlignment="1">
      <x:alignment vertical="top" wrapText="1"/>
    </x:xf>
    <x:xf numFmtId="0" fontId="11" fillId="58" borderId="17" xfId="0" applyNumberFormat="1" applyFont="1" applyFill="1" applyBorder="1" applyAlignment="1">
      <x:alignment vertical="top" wrapText="1"/>
    </x:xf>
    <x:xf numFmtId="0" fontId="11" fillId="59" borderId="18" xfId="0" applyNumberFormat="1" applyFont="1" applyFill="1" applyBorder="1" applyAlignment="1">
      <x:alignment horizontal="center" vertical="top" wrapText="1"/>
    </x:xf>
    <x:xf numFmtId="0" fontId="11" fillId="59" borderId="19" xfId="0" applyNumberFormat="1" applyFont="1" applyFill="1" applyBorder="1" applyAlignment="1">
      <x:alignment horizontal="center" vertical="top" wrapText="1"/>
    </x:xf>
    <x:xf numFmtId="201" fontId="11" fillId="59" borderId="19" xfId="0" applyNumberFormat="1" applyFont="1" applyFill="1" applyBorder="1" applyAlignment="1">
      <x:alignment horizontal="center" vertical="top" wrapText="1"/>
    </x:xf>
    <x:xf numFmtId="0" fontId="11" fillId="59" borderId="19" xfId="0" applyNumberFormat="1" applyFont="1" applyFill="1" applyBorder="1" applyAlignment="1">
      <x:alignment vertical="top" wrapText="1"/>
    </x:xf>
    <x:xf numFmtId="0" fontId="11" fillId="59" borderId="20" xfId="0" applyNumberFormat="1" applyFont="1" applyFill="1" applyBorder="1" applyAlignment="1">
      <x:alignment vertical="top" wrapText="1"/>
    </x:xf>
    <x:xf numFmtId="0" fontId="10" fillId="58" borderId="18" xfId="0" applyNumberFormat="1" applyFont="1" applyFill="1" applyBorder="1" applyAlignment="1">
      <x:alignment horizontal="center" vertical="top" wrapText="1"/>
    </x:xf>
    <x:xf numFmtId="0" fontId="11" fillId="58" borderId="19" xfId="0" applyNumberFormat="1" applyFont="1" applyFill="1" applyBorder="1" applyAlignment="1">
      <x:alignment horizontal="center" vertical="top" wrapText="1"/>
    </x:xf>
    <x:xf numFmtId="201" fontId="11" fillId="58" borderId="19" xfId="0" applyNumberFormat="1" applyFont="1" applyFill="1" applyBorder="1" applyAlignment="1">
      <x:alignment horizontal="center" vertical="top" wrapText="1"/>
    </x:xf>
    <x:xf numFmtId="0" fontId="11" fillId="58" borderId="19" xfId="0" applyNumberFormat="1" applyFont="1" applyFill="1" applyBorder="1" applyAlignment="1">
      <x:alignment vertical="top" wrapText="1"/>
    </x:xf>
    <x:xf numFmtId="0" fontId="11" fillId="58" borderId="20" xfId="0" applyNumberFormat="1" applyFont="1" applyFill="1" applyBorder="1" applyAlignment="1">
      <x:alignment vertical="top" wrapText="1"/>
    </x:xf>
    <x:xf numFmtId="0" fontId="10" fillId="59" borderId="18" xfId="0" applyNumberFormat="1" applyFont="1" applyFill="1" applyBorder="1" applyAlignment="1">
      <x:alignment horizontal="center" vertical="top" wrapText="1"/>
    </x:xf>
    <x:xf numFmtId="0" fontId="11" fillId="58" borderId="18" xfId="0" applyNumberFormat="1" applyFont="1" applyFill="1" applyBorder="1" applyAlignment="1">
      <x:alignment horizontal="center" vertical="top" wrapText="1"/>
    </x:xf>
    <x:xf numFmtId="0" fontId="11" fillId="59" borderId="21" xfId="0" applyNumberFormat="1" applyFont="1" applyFill="1" applyBorder="1" applyAlignment="1">
      <x:alignment horizontal="center" vertical="top" wrapText="1"/>
    </x:xf>
    <x:xf numFmtId="0" fontId="11" fillId="59" borderId="22" xfId="0" applyNumberFormat="1" applyFont="1" applyFill="1" applyBorder="1" applyAlignment="1">
      <x:alignment horizontal="center" vertical="top" wrapText="1"/>
    </x:xf>
    <x:xf numFmtId="201" fontId="11" fillId="59" borderId="22" xfId="0" applyNumberFormat="1" applyFont="1" applyFill="1" applyBorder="1" applyAlignment="1">
      <x:alignment horizontal="center" vertical="top" wrapText="1"/>
    </x:xf>
    <x:xf numFmtId="0" fontId="11" fillId="59" borderId="22" xfId="0" applyNumberFormat="1" applyFont="1" applyFill="1" applyBorder="1" applyAlignment="1">
      <x:alignment vertical="top" wrapText="1"/>
    </x:xf>
    <x:xf numFmtId="0" fontId="11" fillId="59" borderId="23" xfId="0" applyNumberFormat="1" applyFont="1" applyFill="1" applyBorder="1" applyAlignment="1">
      <x:alignment vertical="top" wrapText="1"/>
    </x:xf>
    <x:xf numFmtId="0" fontId="11" fillId="58" borderId="0" xfId="0" applyNumberFormat="1" applyFont="1" applyFill="1" applyBorder="1" applyAlignment="1">
      <x:alignment horizontal="center" vertical="top" wrapText="1"/>
    </x:xf>
    <x:xf numFmtId="201" fontId="11" fillId="58" borderId="0" xfId="0" applyNumberFormat="1" applyFont="1" applyFill="1" applyBorder="1" applyAlignment="1">
      <x:alignment horizontal="center" vertical="top" wrapText="1"/>
    </x:xf>
    <x:xf numFmtId="0" fontId="11" fillId="58" borderId="0" xfId="0" applyNumberFormat="1" applyFont="1" applyFill="1" applyBorder="1" applyAlignment="1">
      <x:alignment vertical="top" wrapText="1"/>
    </x:xf>
    <x:xf numFmtId="0" fontId="11" fillId="59" borderId="0" xfId="0" applyNumberFormat="1" applyFont="1" applyFill="1" applyBorder="1" applyAlignment="1">
      <x:alignment horizontal="center" vertical="top" wrapText="1"/>
    </x:xf>
    <x:xf numFmtId="201" fontId="11" fillId="59" borderId="0" xfId="0" applyNumberFormat="1" applyFont="1" applyFill="1" applyBorder="1" applyAlignment="1">
      <x:alignment horizontal="center" vertical="top" wrapText="1"/>
    </x:xf>
    <x:xf numFmtId="0" fontId="11" fillId="59" borderId="0" xfId="0" applyNumberFormat="1" applyFont="1" applyFill="1" applyBorder="1" applyAlignment="1">
      <x:alignment vertical="top" wrapText="1"/>
    </x:xf>
    <x:xf numFmtId="0" fontId="11" fillId="60" borderId="15" xfId="0" applyNumberFormat="1" applyFont="1" applyFill="1" applyBorder="1" applyAlignment="1">
      <x:alignment horizontal="center" vertical="top" wrapText="1"/>
    </x:xf>
    <x:xf numFmtId="201" fontId="11" fillId="60" borderId="16" xfId="0" applyNumberFormat="1" applyFont="1" applyFill="1" applyBorder="1" applyAlignment="1">
      <x:alignment horizontal="center" vertical="top" wrapText="1"/>
    </x:xf>
    <x:xf numFmtId="0" fontId="11" fillId="60" borderId="16" xfId="0" applyNumberFormat="1" applyFont="1" applyFill="1" applyBorder="1" applyAlignment="1">
      <x:alignment horizontal="center" vertical="top" wrapText="1"/>
    </x:xf>
    <x:xf numFmtId="0" fontId="11" fillId="60" borderId="16" xfId="0" applyNumberFormat="1" applyFont="1" applyFill="1" applyBorder="1" applyAlignment="1">
      <x:alignment vertical="top" wrapText="1"/>
    </x:xf>
    <x:xf numFmtId="0" fontId="11" fillId="60" borderId="17" xfId="0" applyNumberFormat="1" applyFont="1" applyFill="1" applyBorder="1" applyAlignment="1">
      <x:alignment horizontal="center" vertical="top" wrapText="1"/>
    </x:xf>
    <x:xf numFmtId="0" fontId="11" fillId="58" borderId="15" xfId="0" applyNumberFormat="1" applyFont="1" applyFill="1" applyBorder="1" applyAlignment="1">
      <x:alignment horizontal="center" vertical="top" wrapText="1"/>
    </x:xf>
    <x:xf numFmtId="0" fontId="11" fillId="61" borderId="15" xfId="0" applyNumberFormat="1" applyFont="1" applyFill="1" applyBorder="1" applyAlignment="1">
      <x:alignment horizontal="center" vertical="top" wrapText="1"/>
    </x:xf>
    <x:xf numFmtId="0" fontId="11" fillId="61" borderId="16" xfId="0" applyNumberFormat="1" applyFont="1" applyFill="1" applyBorder="1" applyAlignment="1">
      <x:alignment horizontal="center" vertical="top" wrapText="1"/>
    </x:xf>
    <x:xf numFmtId="0" fontId="11" fillId="61" borderId="16" xfId="0" applyNumberFormat="1" applyFont="1" applyFill="1" applyBorder="1" applyAlignment="1">
      <x:alignment vertical="top" wrapText="1"/>
    </x:xf>
    <x:xf numFmtId="0" fontId="11" fillId="61" borderId="17" xfId="0" applyNumberFormat="1" applyFont="1" applyFill="1" applyBorder="1" applyAlignment="1">
      <x:alignment vertical="top" wrapText="1"/>
    </x:xf>
    <x:xf numFmtId="0" fontId="11" fillId="61" borderId="18" xfId="0" applyNumberFormat="1" applyFont="1" applyFill="1" applyBorder="1" applyAlignment="1">
      <x:alignment horizontal="center" vertical="top" wrapText="1"/>
    </x:xf>
    <x:xf numFmtId="0" fontId="11" fillId="61" borderId="19" xfId="0" applyNumberFormat="1" applyFont="1" applyFill="1" applyBorder="1" applyAlignment="1">
      <x:alignment horizontal="center" vertical="top" wrapText="1"/>
    </x:xf>
    <x:xf numFmtId="0" fontId="11" fillId="61" borderId="19" xfId="0" applyNumberFormat="1" applyFont="1" applyFill="1" applyBorder="1" applyAlignment="1">
      <x:alignment vertical="top" wrapText="1"/>
    </x:xf>
    <x:xf numFmtId="0" fontId="11" fillId="61" borderId="20" xfId="0" applyNumberFormat="1" applyFont="1" applyFill="1" applyBorder="1" applyAlignment="1">
      <x:alignment vertical="top" wrapText="1"/>
    </x:xf>
    <x:xf numFmtId="0" fontId="11" fillId="61" borderId="0" xfId="0" applyNumberFormat="1" applyFont="1" applyFill="1" applyBorder="1" applyAlignment="1">
      <x:alignment horizontal="center" vertical="top" wrapText="1"/>
    </x:xf>
    <x:xf numFmtId="0" fontId="11" fillId="61" borderId="0" xfId="0" applyNumberFormat="1" applyFont="1" applyFill="1" applyBorder="1" applyAlignment="1">
      <x:alignment vertical="top" wrapText="1"/>
    </x:xf>
    <x:xf numFmtId="200" fontId="11" fillId="58" borderId="16" xfId="0" applyNumberFormat="1" applyFont="1" applyFill="1" applyBorder="1" applyAlignment="1">
      <x:alignment horizontal="center" vertical="top" wrapText="1"/>
    </x:xf>
    <x:xf numFmtId="200" fontId="11" fillId="59" borderId="19" xfId="0" applyNumberFormat="1" applyFont="1" applyFill="1" applyBorder="1" applyAlignment="1">
      <x:alignment horizontal="center" vertical="top" wrapText="1"/>
    </x:xf>
    <x:xf numFmtId="200" fontId="11" fillId="58" borderId="19" xfId="0" applyNumberFormat="1" applyFont="1" applyFill="1" applyBorder="1" applyAlignment="1">
      <x:alignment horizontal="center" vertical="top" wrapText="1"/>
    </x:xf>
    <x:xf numFmtId="0" fontId="1" fillId="62" borderId="0" xfId="0" applyNumberFormat="1" applyFont="1" applyFill="1" applyBorder="1" applyAlignment="1">
      <x:alignment horizontal="left" vertical="center"/>
    </x:xf>
    <x:xf numFmtId="0" fontId="14" fillId="58" borderId="11" xfId="0" applyNumberFormat="1" applyFont="1" applyFill="1" applyBorder="1" applyAlignment="1">
      <x:alignment vertical="center" wrapText="1"/>
    </x:xf>
    <x:xf numFmtId="202" fontId="13" fillId="58" borderId="11" xfId="0" applyNumberFormat="1" applyFont="1" applyFill="1" applyBorder="1" applyAlignment="1">
      <x:alignment vertical="center" wrapText="1"/>
    </x:xf>
    <x:xf numFmtId="0" fontId="13" fillId="58" borderId="11" xfId="0" applyNumberFormat="1" applyFont="1" applyFill="1" applyBorder="1" applyAlignment="1">
      <x:alignment vertical="center" wrapText="1"/>
    </x:xf>
    <x:xf numFmtId="0" fontId="15" fillId="63" borderId="0" xfId="0" applyNumberFormat="1" applyFont="1" applyFill="1" applyBorder="1" applyAlignment="1">
      <x:alignment vertical="center" wrapText="1"/>
    </x:xf>
    <x:xf numFmtId="0" fontId="16" fillId="58" borderId="11" xfId="0" applyNumberFormat="1" applyFont="1" applyFill="1" applyBorder="1" applyAlignment="1">
      <x:alignment horizontal="center" vertical="center"/>
    </x:xf>
    <x:xf numFmtId="0" fontId="16" fillId="59" borderId="11" xfId="0" applyNumberFormat="1" applyFont="1" applyFill="1" applyBorder="1" applyAlignment="1">
      <x:alignment horizontal="center" vertical="center"/>
    </x:xf>
    <x:xf numFmtId="203" fontId="16" fillId="59" borderId="11" xfId="0" applyNumberFormat="1" applyFont="1" applyFill="1" applyBorder="1" applyAlignment="1">
      <x:alignment horizontal="center" vertical="center"/>
    </x:xf>
    <x:xf numFmtId="0" fontId="17" fillId="64" borderId="12" xfId="0" applyNumberFormat="1" applyFont="1" applyFill="1" applyBorder="1" applyAlignment="1">
      <x:alignment vertical="center" wrapText="1"/>
    </x:xf>
    <x:xf numFmtId="0" fontId="18" fillId="65" borderId="13" xfId="0" applyNumberFormat="1" applyFont="1" applyFill="1" applyBorder="1" applyAlignment="1">
      <x:alignment horizontal="center" vertical="center" wrapText="1"/>
    </x:xf>
    <x:xf numFmtId="0" fontId="11" fillId="66" borderId="14" xfId="0" applyNumberFormat="1" applyFont="1" applyFill="1" applyBorder="1" applyAlignment="1">
      <x:alignment vertical="top" wrapText="1"/>
    </x:xf>
    <x:xf numFmtId="202" fontId="11" fillId="66" borderId="14" xfId="0" applyNumberFormat="1" applyFont="1" applyFill="1" applyBorder="1" applyAlignment="1">
      <x:alignment vertical="top" wrapText="1"/>
    </x:xf>
    <x:xf numFmtId="0" fontId="11" fillId="66" borderId="14" xfId="0" applyNumberFormat="1" applyFont="1" applyFill="1" applyBorder="1" applyAlignment="1">
      <x:alignment horizontal="center" vertical="top" wrapText="1"/>
    </x:xf>
    <x:xf numFmtId="0" fontId="11" fillId="59" borderId="14" xfId="0" applyNumberFormat="1" applyFont="1" applyFill="1" applyBorder="1" applyAlignment="1">
      <x:alignment vertical="top" wrapText="1"/>
    </x:xf>
    <x:xf numFmtId="202" fontId="11" fillId="59" borderId="14" xfId="0" applyNumberFormat="1" applyFont="1" applyFill="1" applyBorder="1" applyAlignment="1">
      <x:alignment vertical="top" wrapText="1"/>
    </x:xf>
    <x:xf numFmtId="0" fontId="11" fillId="59" borderId="14" xfId="0" applyNumberFormat="1" applyFont="1" applyFill="1" applyBorder="1" applyAlignment="1">
      <x:alignment horizontal="center" vertical="top" wrapText="1"/>
    </x:xf>
    <x:xf numFmtId="0" fontId="0" fillId="59" borderId="0" xfId="0" applyNumberFormat="1" applyFont="1" applyFill="1" applyBorder="1"/>
    <x:xf numFmtId="0" fontId="0" fillId="66" borderId="0" xfId="0" applyNumberFormat="1" applyFont="1" applyFill="1" applyBorder="1"/>
    <x:xf numFmtId="0" fontId="0" fillId="59" borderId="0" xfId="0" applyNumberFormat="1" applyFont="1" applyFill="1" applyBorder="1" applyAlignment="1">
      <x:alignment wrapText="1"/>
    </x:xf>
    <x:xf numFmtId="0" fontId="0" fillId="66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vertical="top" wrapText="1"/>
    </x:xf>
    <x:xf numFmtId="0" fontId="0" fillId="66" borderId="0" xfId="0" applyNumberFormat="1" applyFont="1" applyFill="1" applyBorder="1" applyAlignment="1">
      <x:alignment vertical="top" wrapText="1"/>
    </x:xf>
    <x:xf numFmtId="0" fontId="11" fillId="66" borderId="0" xfId="0" applyNumberFormat="1" applyFont="1" applyFill="1" applyBorder="1" applyAlignment="1">
      <x:alignment vertical="top" wrapText="1"/>
    </x:xf>
    <x:xf numFmtId="0" fontId="11" fillId="66" borderId="0" xfId="0" applyNumberFormat="1" applyFont="1" applyFill="1" applyBorder="1" applyAlignment="1">
      <x:alignment horizontal="center" vertical="top" wrapText="1"/>
    </x:xf>
    <x:xf numFmtId="0" fontId="1" fillId="62" borderId="0" xfId="0" applyNumberFormat="1" applyFont="1" applyFill="1" applyBorder="1" applyAlignment="1">
      <x:alignment vertical="center"/>
    </x:xf>
    <x:xf numFmtId="0" fontId="13" fillId="58" borderId="0" xfId="0" applyNumberFormat="1" applyFont="1" applyFill="1" applyBorder="1" applyAlignment="1">
      <x:alignment vertical="center" wrapText="1"/>
    </x:xf>
    <x:xf numFmtId="0" fontId="3" fillId="57" borderId="0" xfId="0" applyNumberFormat="1" applyFont="1" applyFill="1" applyBorder="1" applyAlignment="1">
      <x:alignment horizontal="center" vertical="center" wrapText="1"/>
    </x:xf>
    <x:xf numFmtId="0" fontId="20" fillId="18" borderId="10" xfId="0" applyNumberFormat="1" applyFont="1" applyFill="1" applyBorder="1" applyAlignment="1">
      <x:alignment vertical="top" wrapText="1"/>
    </x:xf>
    <x:xf numFmtId="0" fontId="20" fillId="18" borderId="10" xfId="0" applyNumberFormat="1" applyFont="1" applyFill="1" applyBorder="1"/>
    <x:xf numFmtId="0" fontId="20" fillId="18" borderId="10" xfId="0" applyNumberFormat="1" applyFont="1" applyFill="1" applyBorder="1" applyAlignment="1">
      <x:alignment wrapText="1"/>
    </x:xf>
    <x:xf numFmtId="0" fontId="20" fillId="18" borderId="10" xfId="0" applyNumberFormat="1" applyFont="1" applyFill="1" applyBorder="1" applyAlignment="1">
      <x:alignment vertical="center" wrapText="1"/>
    </x:xf>
    <x:xf numFmtId="0" fontId="20" fillId="67" borderId="10" xfId="0" applyNumberFormat="1" applyFont="1" applyFill="1" applyBorder="1" applyAlignment="1">
      <x:alignment vertical="top" wrapText="1"/>
    </x:xf>
    <x:xf numFmtId="0" fontId="20" fillId="67" borderId="10" xfId="0" applyNumberFormat="1" applyFont="1" applyFill="1" applyBorder="1"/>
    <x:xf numFmtId="0" fontId="20" fillId="67" borderId="10" xfId="0" applyNumberFormat="1" applyFont="1" applyFill="1" applyBorder="1" applyAlignment="1">
      <x:alignment wrapText="1"/>
    </x:xf>
    <x:xf numFmtId="0" fontId="20" fillId="67" borderId="10" xfId="0" applyNumberFormat="1" applyFont="1" applyFill="1" applyBorder="1" applyAlignment="1">
      <x:alignment vertical="center" wrapText="1"/>
    </x:xf>
    <x:xf numFmtId="0" fontId="23" fillId="67" borderId="10" xfId="0" applyNumberFormat="1" applyFont="1" applyFill="1" applyBorder="1" applyAlignment="1">
      <x:alignment vertical="top" wrapText="1"/>
    </x:xf>
    <x:xf numFmtId="0" fontId="23" fillId="67" borderId="10" xfId="0" applyNumberFormat="1" applyFont="1" applyFill="1" applyBorder="1"/>
    <x:xf numFmtId="0" fontId="23" fillId="67" borderId="10" xfId="0" applyNumberFormat="1" applyFont="1" applyFill="1" applyBorder="1" applyAlignment="1">
      <x:alignment wrapText="1"/>
    </x:xf>
    <x:xf numFmtId="0" fontId="23" fillId="67" borderId="10" xfId="0" applyNumberFormat="1" applyFont="1" applyFill="1" applyBorder="1" applyAlignment="1">
      <x:alignment vertical="center" wrapText="1"/>
    </x:xf>
    <x:xf numFmtId="0" fontId="3" fillId="68" borderId="1" xfId="0" applyNumberFormat="1" applyFont="1" applyFill="1" applyBorder="1" applyAlignment="1">
      <x:alignment horizontal="center" vertical="center" wrapText="1"/>
    </x:xf>
    <x:xf numFmtId="0" fontId="10" fillId="69" borderId="15" xfId="0" applyNumberFormat="1" applyFont="1" applyFill="1" applyBorder="1" applyAlignment="1">
      <x:alignment horizontal="center" vertical="top" wrapText="1"/>
    </x:xf>
    <x:xf numFmtId="0" fontId="11" fillId="69" borderId="16" xfId="0" applyNumberFormat="1" applyFont="1" applyFill="1" applyBorder="1" applyAlignment="1">
      <x:alignment horizontal="center" vertical="top" wrapText="1"/>
    </x:xf>
    <x:xf numFmtId="201" fontId="11" fillId="69" borderId="16" xfId="0" applyNumberFormat="1" applyFont="1" applyFill="1" applyBorder="1" applyAlignment="1">
      <x:alignment horizontal="center" vertical="top" wrapText="1"/>
    </x:xf>
    <x:xf numFmtId="0" fontId="11" fillId="69" borderId="16" xfId="0" applyNumberFormat="1" applyFont="1" applyFill="1" applyBorder="1" applyAlignment="1">
      <x:alignment vertical="top" wrapText="1"/>
    </x:xf>
    <x:xf numFmtId="0" fontId="11" fillId="69" borderId="17" xfId="0" applyNumberFormat="1" applyFont="1" applyFill="1" applyBorder="1" applyAlignment="1">
      <x:alignment vertical="top" wrapText="1"/>
    </x:xf>
    <x:xf numFmtId="0" fontId="11" fillId="70" borderId="18" xfId="0" applyNumberFormat="1" applyFont="1" applyFill="1" applyBorder="1" applyAlignment="1">
      <x:alignment horizontal="center" vertical="top" wrapText="1"/>
    </x:xf>
    <x:xf numFmtId="0" fontId="11" fillId="70" borderId="19" xfId="0" applyNumberFormat="1" applyFont="1" applyFill="1" applyBorder="1" applyAlignment="1">
      <x:alignment horizontal="center" vertical="top" wrapText="1"/>
    </x:xf>
    <x:xf numFmtId="201" fontId="11" fillId="70" borderId="19" xfId="0" applyNumberFormat="1" applyFont="1" applyFill="1" applyBorder="1" applyAlignment="1">
      <x:alignment horizontal="center" vertical="top" wrapText="1"/>
    </x:xf>
    <x:xf numFmtId="0" fontId="11" fillId="70" borderId="19" xfId="0" applyNumberFormat="1" applyFont="1" applyFill="1" applyBorder="1" applyAlignment="1">
      <x:alignment vertical="top" wrapText="1"/>
    </x:xf>
    <x:xf numFmtId="0" fontId="11" fillId="70" borderId="20" xfId="0" applyNumberFormat="1" applyFont="1" applyFill="1" applyBorder="1" applyAlignment="1">
      <x:alignment vertical="top" wrapText="1"/>
    </x:xf>
    <x:xf numFmtId="0" fontId="10" fillId="69" borderId="18" xfId="0" applyNumberFormat="1" applyFont="1" applyFill="1" applyBorder="1" applyAlignment="1">
      <x:alignment horizontal="center" vertical="top" wrapText="1"/>
    </x:xf>
    <x:xf numFmtId="0" fontId="11" fillId="69" borderId="19" xfId="0" applyNumberFormat="1" applyFont="1" applyFill="1" applyBorder="1" applyAlignment="1">
      <x:alignment horizontal="center" vertical="top" wrapText="1"/>
    </x:xf>
    <x:xf numFmtId="201" fontId="11" fillId="69" borderId="19" xfId="0" applyNumberFormat="1" applyFont="1" applyFill="1" applyBorder="1" applyAlignment="1">
      <x:alignment horizontal="center" vertical="top" wrapText="1"/>
    </x:xf>
    <x:xf numFmtId="0" fontId="11" fillId="69" borderId="19" xfId="0" applyNumberFormat="1" applyFont="1" applyFill="1" applyBorder="1" applyAlignment="1">
      <x:alignment vertical="top" wrapText="1"/>
    </x:xf>
    <x:xf numFmtId="0" fontId="11" fillId="69" borderId="20" xfId="0" applyNumberFormat="1" applyFont="1" applyFill="1" applyBorder="1" applyAlignment="1">
      <x:alignment vertical="top" wrapText="1"/>
    </x:xf>
    <x:xf numFmtId="0" fontId="10" fillId="70" borderId="18" xfId="0" applyNumberFormat="1" applyFont="1" applyFill="1" applyBorder="1" applyAlignment="1">
      <x:alignment horizontal="center" vertical="top" wrapText="1"/>
    </x:xf>
    <x:xf numFmtId="0" fontId="11" fillId="69" borderId="18" xfId="0" applyNumberFormat="1" applyFont="1" applyFill="1" applyBorder="1" applyAlignment="1">
      <x:alignment horizontal="center" vertical="top" wrapText="1"/>
    </x:xf>
    <x:xf numFmtId="0" fontId="11" fillId="70" borderId="21" xfId="0" applyNumberFormat="1" applyFont="1" applyFill="1" applyBorder="1" applyAlignment="1">
      <x:alignment horizontal="center" vertical="top" wrapText="1"/>
    </x:xf>
    <x:xf numFmtId="0" fontId="11" fillId="70" borderId="22" xfId="0" applyNumberFormat="1" applyFont="1" applyFill="1" applyBorder="1" applyAlignment="1">
      <x:alignment horizontal="center" vertical="top" wrapText="1"/>
    </x:xf>
    <x:xf numFmtId="201" fontId="11" fillId="70" borderId="22" xfId="0" applyNumberFormat="1" applyFont="1" applyFill="1" applyBorder="1" applyAlignment="1">
      <x:alignment horizontal="center" vertical="top" wrapText="1"/>
    </x:xf>
    <x:xf numFmtId="0" fontId="11" fillId="70" borderId="22" xfId="0" applyNumberFormat="1" applyFont="1" applyFill="1" applyBorder="1" applyAlignment="1">
      <x:alignment vertical="top" wrapText="1"/>
    </x:xf>
    <x:xf numFmtId="0" fontId="11" fillId="70" borderId="23" xfId="0" applyNumberFormat="1" applyFont="1" applyFill="1" applyBorder="1" applyAlignment="1">
      <x:alignment vertical="top" wrapText="1"/>
    </x:xf>
    <x:xf numFmtId="0" fontId="11" fillId="69" borderId="0" xfId="0" applyNumberFormat="1" applyFont="1" applyFill="1" applyBorder="1" applyAlignment="1">
      <x:alignment horizontal="center" vertical="top" wrapText="1"/>
    </x:xf>
    <x:xf numFmtId="201" fontId="11" fillId="69" borderId="0" xfId="0" applyNumberFormat="1" applyFont="1" applyFill="1" applyBorder="1" applyAlignment="1">
      <x:alignment horizontal="center" vertical="top" wrapText="1"/>
    </x:xf>
    <x:xf numFmtId="0" fontId="11" fillId="69" borderId="0" xfId="0" applyNumberFormat="1" applyFont="1" applyFill="1" applyBorder="1" applyAlignment="1">
      <x:alignment vertical="top" wrapText="1"/>
    </x:xf>
    <x:xf numFmtId="0" fontId="11" fillId="70" borderId="0" xfId="0" applyNumberFormat="1" applyFont="1" applyFill="1" applyBorder="1" applyAlignment="1">
      <x:alignment horizontal="center" vertical="top" wrapText="1"/>
    </x:xf>
    <x:xf numFmtId="201" fontId="11" fillId="70" borderId="0" xfId="0" applyNumberFormat="1" applyFont="1" applyFill="1" applyBorder="1" applyAlignment="1">
      <x:alignment horizontal="center" vertical="top" wrapText="1"/>
    </x:xf>
    <x:xf numFmtId="0" fontId="11" fillId="70" borderId="0" xfId="0" applyNumberFormat="1" applyFont="1" applyFill="1" applyBorder="1" applyAlignment="1">
      <x:alignment vertical="top" wrapText="1"/>
    </x:xf>
    <x:xf numFmtId="0" fontId="11" fillId="69" borderId="15" xfId="0" applyNumberFormat="1" applyFont="1" applyFill="1" applyBorder="1" applyAlignment="1">
      <x:alignment horizontal="center" vertical="top" wrapText="1"/>
    </x:xf>
    <x:xf numFmtId="0" fontId="11" fillId="71" borderId="15" xfId="0" applyNumberFormat="1" applyFont="1" applyFill="1" applyBorder="1" applyAlignment="1">
      <x:alignment horizontal="center" vertical="top" wrapText="1"/>
    </x:xf>
    <x:xf numFmtId="0" fontId="11" fillId="71" borderId="16" xfId="0" applyNumberFormat="1" applyFont="1" applyFill="1" applyBorder="1" applyAlignment="1">
      <x:alignment horizontal="center" vertical="top" wrapText="1"/>
    </x:xf>
    <x:xf numFmtId="0" fontId="11" fillId="71" borderId="16" xfId="0" applyNumberFormat="1" applyFont="1" applyFill="1" applyBorder="1" applyAlignment="1">
      <x:alignment vertical="top" wrapText="1"/>
    </x:xf>
    <x:xf numFmtId="0" fontId="11" fillId="71" borderId="17" xfId="0" applyNumberFormat="1" applyFont="1" applyFill="1" applyBorder="1" applyAlignment="1">
      <x:alignment vertical="top" wrapText="1"/>
    </x:xf>
    <x:xf numFmtId="0" fontId="11" fillId="71" borderId="18" xfId="0" applyNumberFormat="1" applyFont="1" applyFill="1" applyBorder="1" applyAlignment="1">
      <x:alignment horizontal="center" vertical="top" wrapText="1"/>
    </x:xf>
    <x:xf numFmtId="0" fontId="11" fillId="71" borderId="19" xfId="0" applyNumberFormat="1" applyFont="1" applyFill="1" applyBorder="1" applyAlignment="1">
      <x:alignment horizontal="center" vertical="top" wrapText="1"/>
    </x:xf>
    <x:xf numFmtId="0" fontId="11" fillId="71" borderId="19" xfId="0" applyNumberFormat="1" applyFont="1" applyFill="1" applyBorder="1" applyAlignment="1">
      <x:alignment vertical="top" wrapText="1"/>
    </x:xf>
    <x:xf numFmtId="0" fontId="11" fillId="71" borderId="20" xfId="0" applyNumberFormat="1" applyFont="1" applyFill="1" applyBorder="1" applyAlignment="1">
      <x:alignment vertical="top" wrapText="1"/>
    </x:xf>
    <x:xf numFmtId="0" fontId="11" fillId="71" borderId="0" xfId="0" applyNumberFormat="1" applyFont="1" applyFill="1" applyBorder="1" applyAlignment="1">
      <x:alignment horizontal="center" vertical="top" wrapText="1"/>
    </x:xf>
    <x:xf numFmtId="0" fontId="11" fillId="71" borderId="0" xfId="0" applyNumberFormat="1" applyFont="1" applyFill="1" applyBorder="1" applyAlignment="1">
      <x:alignment vertical="top" wrapText="1"/>
    </x:xf>
    <x:xf numFmtId="200" fontId="11" fillId="69" borderId="16" xfId="0" applyNumberFormat="1" applyFont="1" applyFill="1" applyBorder="1" applyAlignment="1">
      <x:alignment horizontal="center" vertical="top" wrapText="1"/>
    </x:xf>
    <x:xf numFmtId="200" fontId="11" fillId="70" borderId="19" xfId="0" applyNumberFormat="1" applyFont="1" applyFill="1" applyBorder="1" applyAlignment="1">
      <x:alignment horizontal="center" vertical="top" wrapText="1"/>
    </x:xf>
    <x:xf numFmtId="200" fontId="11" fillId="69" borderId="19" xfId="0" applyNumberFormat="1" applyFont="1" applyFill="1" applyBorder="1" applyAlignment="1">
      <x:alignment horizontal="center" vertical="top" wrapText="1"/>
    </x:xf>
    <x:xf numFmtId="0" fontId="1" fillId="72" borderId="0" xfId="0" applyNumberFormat="1" applyFont="1" applyFill="1" applyBorder="1" applyAlignment="1">
      <x:alignment horizontal="left" vertical="center"/>
    </x:xf>
    <x:xf numFmtId="0" fontId="14" fillId="69" borderId="11" xfId="0" applyNumberFormat="1" applyFont="1" applyFill="1" applyBorder="1" applyAlignment="1">
      <x:alignment vertical="center" wrapText="1"/>
    </x:xf>
    <x:xf numFmtId="202" fontId="13" fillId="69" borderId="11" xfId="0" applyNumberFormat="1" applyFont="1" applyFill="1" applyBorder="1" applyAlignment="1">
      <x:alignment vertical="center" wrapText="1"/>
    </x:xf>
    <x:xf numFmtId="0" fontId="13" fillId="69" borderId="11" xfId="0" applyNumberFormat="1" applyFont="1" applyFill="1" applyBorder="1" applyAlignment="1">
      <x:alignment vertical="center" wrapText="1"/>
    </x:xf>
    <x:xf numFmtId="0" fontId="15" fillId="73" borderId="0" xfId="0" applyNumberFormat="1" applyFont="1" applyFill="1" applyBorder="1" applyAlignment="1">
      <x:alignment vertical="center" wrapText="1"/>
    </x:xf>
    <x:xf numFmtId="0" fontId="16" fillId="69" borderId="11" xfId="0" applyNumberFormat="1" applyFont="1" applyFill="1" applyBorder="1" applyAlignment="1">
      <x:alignment horizontal="center" vertical="center"/>
    </x:xf>
    <x:xf numFmtId="0" fontId="16" fillId="70" borderId="11" xfId="0" applyNumberFormat="1" applyFont="1" applyFill="1" applyBorder="1" applyAlignment="1">
      <x:alignment horizontal="center" vertical="center"/>
    </x:xf>
    <x:xf numFmtId="203" fontId="16" fillId="70" borderId="11" xfId="0" applyNumberFormat="1" applyFont="1" applyFill="1" applyBorder="1" applyAlignment="1">
      <x:alignment horizontal="center" vertical="center"/>
    </x:xf>
    <x:xf numFmtId="0" fontId="17" fillId="74" borderId="12" xfId="0" applyNumberFormat="1" applyFont="1" applyFill="1" applyBorder="1" applyAlignment="1">
      <x:alignment vertical="center" wrapText="1"/>
    </x:xf>
    <x:xf numFmtId="0" fontId="18" fillId="75" borderId="13" xfId="0" applyNumberFormat="1" applyFont="1" applyFill="1" applyBorder="1" applyAlignment="1">
      <x:alignment horizontal="center" vertical="center" wrapText="1"/>
    </x:xf>
    <x:xf numFmtId="0" fontId="11" fillId="76" borderId="14" xfId="0" applyNumberFormat="1" applyFont="1" applyFill="1" applyBorder="1" applyAlignment="1">
      <x:alignment vertical="top" wrapText="1"/>
    </x:xf>
    <x:xf numFmtId="202" fontId="11" fillId="76" borderId="14" xfId="0" applyNumberFormat="1" applyFont="1" applyFill="1" applyBorder="1" applyAlignment="1">
      <x:alignment vertical="top" wrapText="1"/>
    </x:xf>
    <x:xf numFmtId="0" fontId="11" fillId="76" borderId="14" xfId="0" applyNumberFormat="1" applyFont="1" applyFill="1" applyBorder="1" applyAlignment="1">
      <x:alignment horizontal="center" vertical="top" wrapText="1"/>
    </x:xf>
    <x:xf numFmtId="0" fontId="11" fillId="70" borderId="14" xfId="0" applyNumberFormat="1" applyFont="1" applyFill="1" applyBorder="1" applyAlignment="1">
      <x:alignment vertical="top" wrapText="1"/>
    </x:xf>
    <x:xf numFmtId="202" fontId="11" fillId="70" borderId="14" xfId="0" applyNumberFormat="1" applyFont="1" applyFill="1" applyBorder="1" applyAlignment="1">
      <x:alignment vertical="top" wrapText="1"/>
    </x:xf>
    <x:xf numFmtId="0" fontId="11" fillId="70" borderId="14" xfId="0" applyNumberFormat="1" applyFont="1" applyFill="1" applyBorder="1" applyAlignment="1">
      <x:alignment horizontal="center" vertical="top" wrapText="1"/>
    </x:xf>
    <x:xf numFmtId="0" fontId="11" fillId="76" borderId="0" xfId="0" applyNumberFormat="1" applyFont="1" applyFill="1" applyBorder="1" applyAlignment="1">
      <x:alignment vertical="top" wrapText="1"/>
    </x:xf>
    <x:xf numFmtId="0" fontId="11" fillId="76" borderId="0" xfId="0" applyNumberFormat="1" applyFont="1" applyFill="1" applyBorder="1" applyAlignment="1">
      <x:alignment horizontal="center" vertical="top" wrapText="1"/>
    </x:xf>
    <x:xf numFmtId="0" fontId="1" fillId="72" borderId="0" xfId="0" applyNumberFormat="1" applyFont="1" applyFill="1" applyBorder="1" applyAlignment="1">
      <x:alignment vertical="center"/>
    </x:xf>
    <x:xf numFmtId="0" fontId="13" fillId="69" borderId="0" xfId="0" applyNumberFormat="1" applyFont="1" applyFill="1" applyBorder="1" applyAlignment="1">
      <x:alignment vertical="center" wrapText="1"/>
    </x:xf>
    <x:xf numFmtId="0" fontId="3" fillId="68" borderId="0" xfId="0" applyNumberFormat="1" applyFont="1" applyFill="1" applyBorder="1" applyAlignment="1">
      <x:alignment horizontal="center" vertical="center" wrapText="1"/>
    </x:xf>
    <x:xf numFmtId="0" fontId="20" fillId="77" borderId="10" xfId="0" applyNumberFormat="1" applyFont="1" applyFill="1" applyBorder="1" applyAlignment="1">
      <x:alignment vertical="top" wrapText="1"/>
    </x:xf>
    <x:xf numFmtId="0" fontId="20" fillId="77" borderId="10" xfId="0" applyNumberFormat="1" applyFont="1" applyFill="1" applyBorder="1"/>
    <x:xf numFmtId="0" fontId="20" fillId="77" borderId="10" xfId="0" applyNumberFormat="1" applyFont="1" applyFill="1" applyBorder="1" applyAlignment="1">
      <x:alignment wrapText="1"/>
    </x:xf>
    <x:xf numFmtId="0" fontId="20" fillId="77" borderId="10" xfId="0" applyNumberFormat="1" applyFont="1" applyFill="1" applyBorder="1" applyAlignment="1">
      <x:alignment vertical="center" wrapText="1"/>
    </x:xf>
    <x:xf numFmtId="0" fontId="24" fillId="77" borderId="10" xfId="0" applyNumberFormat="1" applyFont="1" applyFill="1" applyBorder="1" applyAlignment="1">
      <x:alignment vertical="top" wrapText="1"/>
    </x:xf>
    <x:xf numFmtId="0" fontId="24" fillId="77" borderId="10" xfId="0" applyNumberFormat="1" applyFont="1" applyFill="1" applyBorder="1"/>
    <x:xf numFmtId="0" fontId="24" fillId="77" borderId="10" xfId="0" applyNumberFormat="1" applyFont="1" applyFill="1" applyBorder="1" applyAlignment="1">
      <x:alignment wrapText="1"/>
    </x:xf>
    <x:xf numFmtId="0" fontId="24" fillId="77" borderId="10" xfId="0" applyNumberFormat="1" applyFont="1" applyFill="1" applyBorder="1" applyAlignment="1">
      <x:alignment vertical="center" wrapText="1"/>
    </x:xf>
    <x:xf numFmtId="0" fontId="11" fillId="8" borderId="16" xfId="0" applyNumberFormat="1" applyFont="1" applyFill="1" applyBorder="1" applyAlignment="1">
      <x:alignment horizontal="left" vertical="top" wrapText="1"/>
    </x:xf>
    <x:xf numFmtId="0" fontId="3" fillId="78" borderId="1" xfId="0" applyNumberFormat="1" applyFont="1" applyFill="1" applyBorder="1" applyAlignment="1">
      <x:alignment horizontal="center" vertical="center" wrapText="1"/>
    </x:xf>
    <x:xf numFmtId="0" fontId="10" fillId="79" borderId="15" xfId="0" applyNumberFormat="1" applyFont="1" applyFill="1" applyBorder="1" applyAlignment="1">
      <x:alignment horizontal="center" vertical="top" wrapText="1"/>
    </x:xf>
    <x:xf numFmtId="0" fontId="11" fillId="79" borderId="16" xfId="0" applyNumberFormat="1" applyFont="1" applyFill="1" applyBorder="1" applyAlignment="1">
      <x:alignment horizontal="center" vertical="top" wrapText="1"/>
    </x:xf>
    <x:xf numFmtId="201" fontId="11" fillId="79" borderId="16" xfId="0" applyNumberFormat="1" applyFont="1" applyFill="1" applyBorder="1" applyAlignment="1">
      <x:alignment horizontal="center" vertical="top" wrapText="1"/>
    </x:xf>
    <x:xf numFmtId="0" fontId="11" fillId="79" borderId="16" xfId="0" applyNumberFormat="1" applyFont="1" applyFill="1" applyBorder="1" applyAlignment="1">
      <x:alignment vertical="top" wrapText="1"/>
    </x:xf>
    <x:xf numFmtId="0" fontId="11" fillId="79" borderId="17" xfId="0" applyNumberFormat="1" applyFont="1" applyFill="1" applyBorder="1" applyAlignment="1">
      <x:alignment vertical="top" wrapText="1"/>
    </x:xf>
    <x:xf numFmtId="0" fontId="11" fillId="80" borderId="18" xfId="0" applyNumberFormat="1" applyFont="1" applyFill="1" applyBorder="1" applyAlignment="1">
      <x:alignment horizontal="center" vertical="top" wrapText="1"/>
    </x:xf>
    <x:xf numFmtId="0" fontId="11" fillId="80" borderId="19" xfId="0" applyNumberFormat="1" applyFont="1" applyFill="1" applyBorder="1" applyAlignment="1">
      <x:alignment horizontal="center" vertical="top" wrapText="1"/>
    </x:xf>
    <x:xf numFmtId="201" fontId="11" fillId="80" borderId="19" xfId="0" applyNumberFormat="1" applyFont="1" applyFill="1" applyBorder="1" applyAlignment="1">
      <x:alignment horizontal="center" vertical="top" wrapText="1"/>
    </x:xf>
    <x:xf numFmtId="0" fontId="11" fillId="80" borderId="19" xfId="0" applyNumberFormat="1" applyFont="1" applyFill="1" applyBorder="1" applyAlignment="1">
      <x:alignment vertical="top" wrapText="1"/>
    </x:xf>
    <x:xf numFmtId="0" fontId="11" fillId="80" borderId="20" xfId="0" applyNumberFormat="1" applyFont="1" applyFill="1" applyBorder="1" applyAlignment="1">
      <x:alignment vertical="top" wrapText="1"/>
    </x:xf>
    <x:xf numFmtId="0" fontId="10" fillId="79" borderId="18" xfId="0" applyNumberFormat="1" applyFont="1" applyFill="1" applyBorder="1" applyAlignment="1">
      <x:alignment horizontal="center" vertical="top" wrapText="1"/>
    </x:xf>
    <x:xf numFmtId="0" fontId="11" fillId="79" borderId="19" xfId="0" applyNumberFormat="1" applyFont="1" applyFill="1" applyBorder="1" applyAlignment="1">
      <x:alignment horizontal="center" vertical="top" wrapText="1"/>
    </x:xf>
    <x:xf numFmtId="201" fontId="11" fillId="79" borderId="19" xfId="0" applyNumberFormat="1" applyFont="1" applyFill="1" applyBorder="1" applyAlignment="1">
      <x:alignment horizontal="center" vertical="top" wrapText="1"/>
    </x:xf>
    <x:xf numFmtId="0" fontId="11" fillId="79" borderId="19" xfId="0" applyNumberFormat="1" applyFont="1" applyFill="1" applyBorder="1" applyAlignment="1">
      <x:alignment vertical="top" wrapText="1"/>
    </x:xf>
    <x:xf numFmtId="0" fontId="11" fillId="79" borderId="20" xfId="0" applyNumberFormat="1" applyFont="1" applyFill="1" applyBorder="1" applyAlignment="1">
      <x:alignment vertical="top" wrapText="1"/>
    </x:xf>
    <x:xf numFmtId="0" fontId="10" fillId="80" borderId="18" xfId="0" applyNumberFormat="1" applyFont="1" applyFill="1" applyBorder="1" applyAlignment="1">
      <x:alignment horizontal="center" vertical="top" wrapText="1"/>
    </x:xf>
    <x:xf numFmtId="0" fontId="11" fillId="79" borderId="18" xfId="0" applyNumberFormat="1" applyFont="1" applyFill="1" applyBorder="1" applyAlignment="1">
      <x:alignment horizontal="center" vertical="top" wrapText="1"/>
    </x:xf>
    <x:xf numFmtId="0" fontId="11" fillId="80" borderId="21" xfId="0" applyNumberFormat="1" applyFont="1" applyFill="1" applyBorder="1" applyAlignment="1">
      <x:alignment horizontal="center" vertical="top" wrapText="1"/>
    </x:xf>
    <x:xf numFmtId="0" fontId="11" fillId="80" borderId="22" xfId="0" applyNumberFormat="1" applyFont="1" applyFill="1" applyBorder="1" applyAlignment="1">
      <x:alignment horizontal="center" vertical="top" wrapText="1"/>
    </x:xf>
    <x:xf numFmtId="201" fontId="11" fillId="80" borderId="22" xfId="0" applyNumberFormat="1" applyFont="1" applyFill="1" applyBorder="1" applyAlignment="1">
      <x:alignment horizontal="center" vertical="top" wrapText="1"/>
    </x:xf>
    <x:xf numFmtId="0" fontId="11" fillId="80" borderId="22" xfId="0" applyNumberFormat="1" applyFont="1" applyFill="1" applyBorder="1" applyAlignment="1">
      <x:alignment vertical="top" wrapText="1"/>
    </x:xf>
    <x:xf numFmtId="0" fontId="11" fillId="80" borderId="23" xfId="0" applyNumberFormat="1" applyFont="1" applyFill="1" applyBorder="1" applyAlignment="1">
      <x:alignment vertical="top" wrapText="1"/>
    </x:xf>
    <x:xf numFmtId="0" fontId="11" fillId="79" borderId="0" xfId="0" applyNumberFormat="1" applyFont="1" applyFill="1" applyBorder="1" applyAlignment="1">
      <x:alignment horizontal="center" vertical="top" wrapText="1"/>
    </x:xf>
    <x:xf numFmtId="201" fontId="11" fillId="79" borderId="0" xfId="0" applyNumberFormat="1" applyFont="1" applyFill="1" applyBorder="1" applyAlignment="1">
      <x:alignment horizontal="center" vertical="top" wrapText="1"/>
    </x:xf>
    <x:xf numFmtId="0" fontId="11" fillId="79" borderId="0" xfId="0" applyNumberFormat="1" applyFont="1" applyFill="1" applyBorder="1" applyAlignment="1">
      <x:alignment vertical="top" wrapText="1"/>
    </x:xf>
    <x:xf numFmtId="0" fontId="11" fillId="80" borderId="0" xfId="0" applyNumberFormat="1" applyFont="1" applyFill="1" applyBorder="1" applyAlignment="1">
      <x:alignment horizontal="center" vertical="top" wrapText="1"/>
    </x:xf>
    <x:xf numFmtId="201" fontId="11" fillId="80" borderId="0" xfId="0" applyNumberFormat="1" applyFont="1" applyFill="1" applyBorder="1" applyAlignment="1">
      <x:alignment horizontal="center" vertical="top" wrapText="1"/>
    </x:xf>
    <x:xf numFmtId="0" fontId="11" fillId="80" borderId="0" xfId="0" applyNumberFormat="1" applyFont="1" applyFill="1" applyBorder="1" applyAlignment="1">
      <x:alignment vertical="top" wrapText="1"/>
    </x:xf>
    <x:xf numFmtId="0" fontId="11" fillId="79" borderId="15" xfId="0" applyNumberFormat="1" applyFont="1" applyFill="1" applyBorder="1" applyAlignment="1">
      <x:alignment horizontal="center" vertical="top" wrapText="1"/>
    </x:xf>
    <x:xf numFmtId="0" fontId="11" fillId="81" borderId="15" xfId="0" applyNumberFormat="1" applyFont="1" applyFill="1" applyBorder="1" applyAlignment="1">
      <x:alignment horizontal="center" vertical="top" wrapText="1"/>
    </x:xf>
    <x:xf numFmtId="0" fontId="11" fillId="81" borderId="16" xfId="0" applyNumberFormat="1" applyFont="1" applyFill="1" applyBorder="1" applyAlignment="1">
      <x:alignment horizontal="center" vertical="top" wrapText="1"/>
    </x:xf>
    <x:xf numFmtId="0" fontId="11" fillId="81" borderId="16" xfId="0" applyNumberFormat="1" applyFont="1" applyFill="1" applyBorder="1" applyAlignment="1">
      <x:alignment vertical="top" wrapText="1"/>
    </x:xf>
    <x:xf numFmtId="0" fontId="11" fillId="81" borderId="17" xfId="0" applyNumberFormat="1" applyFont="1" applyFill="1" applyBorder="1" applyAlignment="1">
      <x:alignment vertical="top" wrapText="1"/>
    </x:xf>
    <x:xf numFmtId="0" fontId="11" fillId="81" borderId="18" xfId="0" applyNumberFormat="1" applyFont="1" applyFill="1" applyBorder="1" applyAlignment="1">
      <x:alignment horizontal="center" vertical="top" wrapText="1"/>
    </x:xf>
    <x:xf numFmtId="0" fontId="11" fillId="81" borderId="19" xfId="0" applyNumberFormat="1" applyFont="1" applyFill="1" applyBorder="1" applyAlignment="1">
      <x:alignment horizontal="center" vertical="top" wrapText="1"/>
    </x:xf>
    <x:xf numFmtId="0" fontId="11" fillId="81" borderId="19" xfId="0" applyNumberFormat="1" applyFont="1" applyFill="1" applyBorder="1" applyAlignment="1">
      <x:alignment vertical="top" wrapText="1"/>
    </x:xf>
    <x:xf numFmtId="0" fontId="11" fillId="81" borderId="20" xfId="0" applyNumberFormat="1" applyFont="1" applyFill="1" applyBorder="1" applyAlignment="1">
      <x:alignment vertical="top" wrapText="1"/>
    </x:xf>
    <x:xf numFmtId="0" fontId="11" fillId="81" borderId="0" xfId="0" applyNumberFormat="1" applyFont="1" applyFill="1" applyBorder="1" applyAlignment="1">
      <x:alignment horizontal="center" vertical="top" wrapText="1"/>
    </x:xf>
    <x:xf numFmtId="0" fontId="11" fillId="81" borderId="0" xfId="0" applyNumberFormat="1" applyFont="1" applyFill="1" applyBorder="1" applyAlignment="1">
      <x:alignment vertical="top" wrapText="1"/>
    </x:xf>
    <x:xf numFmtId="200" fontId="11" fillId="79" borderId="16" xfId="0" applyNumberFormat="1" applyFont="1" applyFill="1" applyBorder="1" applyAlignment="1">
      <x:alignment horizontal="center" vertical="top" wrapText="1"/>
    </x:xf>
    <x:xf numFmtId="200" fontId="11" fillId="80" borderId="19" xfId="0" applyNumberFormat="1" applyFont="1" applyFill="1" applyBorder="1" applyAlignment="1">
      <x:alignment horizontal="center" vertical="top" wrapText="1"/>
    </x:xf>
    <x:xf numFmtId="200" fontId="11" fillId="79" borderId="19" xfId="0" applyNumberFormat="1" applyFont="1" applyFill="1" applyBorder="1" applyAlignment="1">
      <x:alignment horizontal="center" vertical="top" wrapText="1"/>
    </x:xf>
    <x:xf numFmtId="0" fontId="1" fillId="82" borderId="0" xfId="0" applyNumberFormat="1" applyFont="1" applyFill="1" applyBorder="1" applyAlignment="1">
      <x:alignment horizontal="left" vertical="center"/>
    </x:xf>
    <x:xf numFmtId="0" fontId="14" fillId="79" borderId="11" xfId="0" applyNumberFormat="1" applyFont="1" applyFill="1" applyBorder="1" applyAlignment="1">
      <x:alignment vertical="center" wrapText="1"/>
    </x:xf>
    <x:xf numFmtId="202" fontId="13" fillId="79" borderId="11" xfId="0" applyNumberFormat="1" applyFont="1" applyFill="1" applyBorder="1" applyAlignment="1">
      <x:alignment vertical="center" wrapText="1"/>
    </x:xf>
    <x:xf numFmtId="0" fontId="13" fillId="79" borderId="11" xfId="0" applyNumberFormat="1" applyFont="1" applyFill="1" applyBorder="1" applyAlignment="1">
      <x:alignment vertical="center" wrapText="1"/>
    </x:xf>
    <x:xf numFmtId="0" fontId="15" fillId="83" borderId="0" xfId="0" applyNumberFormat="1" applyFont="1" applyFill="1" applyBorder="1" applyAlignment="1">
      <x:alignment vertical="center" wrapText="1"/>
    </x:xf>
    <x:xf numFmtId="0" fontId="16" fillId="79" borderId="11" xfId="0" applyNumberFormat="1" applyFont="1" applyFill="1" applyBorder="1" applyAlignment="1">
      <x:alignment horizontal="center" vertical="center"/>
    </x:xf>
    <x:xf numFmtId="0" fontId="16" fillId="80" borderId="11" xfId="0" applyNumberFormat="1" applyFont="1" applyFill="1" applyBorder="1" applyAlignment="1">
      <x:alignment horizontal="center" vertical="center"/>
    </x:xf>
    <x:xf numFmtId="203" fontId="16" fillId="80" borderId="11" xfId="0" applyNumberFormat="1" applyFont="1" applyFill="1" applyBorder="1" applyAlignment="1">
      <x:alignment horizontal="center" vertical="center"/>
    </x:xf>
    <x:xf numFmtId="0" fontId="17" fillId="84" borderId="12" xfId="0" applyNumberFormat="1" applyFont="1" applyFill="1" applyBorder="1" applyAlignment="1">
      <x:alignment vertical="center" wrapText="1"/>
    </x:xf>
    <x:xf numFmtId="0" fontId="18" fillId="85" borderId="13" xfId="0" applyNumberFormat="1" applyFont="1" applyFill="1" applyBorder="1" applyAlignment="1">
      <x:alignment horizontal="center" vertical="center" wrapText="1"/>
    </x:xf>
    <x:xf numFmtId="0" fontId="11" fillId="86" borderId="14" xfId="0" applyNumberFormat="1" applyFont="1" applyFill="1" applyBorder="1" applyAlignment="1">
      <x:alignment vertical="top" wrapText="1"/>
    </x:xf>
    <x:xf numFmtId="202" fontId="11" fillId="86" borderId="14" xfId="0" applyNumberFormat="1" applyFont="1" applyFill="1" applyBorder="1" applyAlignment="1">
      <x:alignment vertical="top" wrapText="1"/>
    </x:xf>
    <x:xf numFmtId="0" fontId="11" fillId="86" borderId="14" xfId="0" applyNumberFormat="1" applyFont="1" applyFill="1" applyBorder="1" applyAlignment="1">
      <x:alignment horizontal="center" vertical="top" wrapText="1"/>
    </x:xf>
    <x:xf numFmtId="0" fontId="11" fillId="80" borderId="14" xfId="0" applyNumberFormat="1" applyFont="1" applyFill="1" applyBorder="1" applyAlignment="1">
      <x:alignment vertical="top" wrapText="1"/>
    </x:xf>
    <x:xf numFmtId="202" fontId="11" fillId="80" borderId="14" xfId="0" applyNumberFormat="1" applyFont="1" applyFill="1" applyBorder="1" applyAlignment="1">
      <x:alignment vertical="top" wrapText="1"/>
    </x:xf>
    <x:xf numFmtId="0" fontId="11" fillId="80" borderId="14" xfId="0" applyNumberFormat="1" applyFont="1" applyFill="1" applyBorder="1" applyAlignment="1">
      <x:alignment horizontal="center" vertical="top" wrapText="1"/>
    </x:xf>
    <x:xf numFmtId="0" fontId="11" fillId="86" borderId="0" xfId="0" applyNumberFormat="1" applyFont="1" applyFill="1" applyBorder="1" applyAlignment="1">
      <x:alignment vertical="top" wrapText="1"/>
    </x:xf>
    <x:xf numFmtId="0" fontId="11" fillId="86" borderId="0" xfId="0" applyNumberFormat="1" applyFont="1" applyFill="1" applyBorder="1" applyAlignment="1">
      <x:alignment horizontal="center" vertical="top" wrapText="1"/>
    </x:xf>
    <x:xf numFmtId="0" fontId="0" fillId="80" borderId="0" xfId="0" applyNumberFormat="1" applyFont="1" applyFill="1" applyBorder="1"/>
    <x:xf numFmtId="0" fontId="0" fillId="86" borderId="0" xfId="0" applyNumberFormat="1" applyFont="1" applyFill="1" applyBorder="1"/>
    <x:xf numFmtId="0" fontId="0" fillId="80" borderId="0" xfId="0" applyNumberFormat="1" applyFont="1" applyFill="1" applyBorder="1" applyAlignment="1">
      <x:alignment wrapText="1"/>
    </x:xf>
    <x:xf numFmtId="0" fontId="0" fillId="86" borderId="0" xfId="0" applyNumberFormat="1" applyFont="1" applyFill="1" applyBorder="1" applyAlignment="1">
      <x:alignment wrapText="1"/>
    </x:xf>
    <x:xf numFmtId="0" fontId="0" fillId="80" borderId="0" xfId="0" applyNumberFormat="1" applyFont="1" applyFill="1" applyBorder="1" applyAlignment="1">
      <x:alignment vertical="top" wrapText="1"/>
    </x:xf>
    <x:xf numFmtId="0" fontId="0" fillId="86" borderId="0" xfId="0" applyNumberFormat="1" applyFont="1" applyFill="1" applyBorder="1" applyAlignment="1">
      <x:alignment vertical="top" wrapText="1"/>
    </x:xf>
    <x:xf numFmtId="0" fontId="1" fillId="82" borderId="0" xfId="0" applyNumberFormat="1" applyFont="1" applyFill="1" applyBorder="1" applyAlignment="1">
      <x:alignment vertical="center"/>
    </x:xf>
    <x:xf numFmtId="0" fontId="13" fillId="79" borderId="0" xfId="0" applyNumberFormat="1" applyFont="1" applyFill="1" applyBorder="1" applyAlignment="1">
      <x:alignment vertical="center" wrapText="1"/>
    </x:xf>
    <x:xf numFmtId="0" fontId="3" fillId="78" borderId="0" xfId="0" applyNumberFormat="1" applyFont="1" applyFill="1" applyBorder="1" applyAlignment="1">
      <x:alignment horizontal="center" vertical="center" wrapText="1"/>
    </x:xf>
    <x:xf numFmtId="0" fontId="20" fillId="87" borderId="10" xfId="0" applyNumberFormat="1" applyFont="1" applyFill="1" applyBorder="1" applyAlignment="1">
      <x:alignment vertical="top" wrapText="1"/>
    </x:xf>
    <x:xf numFmtId="0" fontId="20" fillId="87" borderId="10" xfId="0" applyNumberFormat="1" applyFont="1" applyFill="1" applyBorder="1"/>
    <x:xf numFmtId="0" fontId="20" fillId="87" borderId="10" xfId="0" applyNumberFormat="1" applyFont="1" applyFill="1" applyBorder="1" applyAlignment="1">
      <x:alignment wrapText="1"/>
    </x:xf>
    <x:xf numFmtId="0" fontId="20" fillId="87" borderId="10" xfId="0" applyNumberFormat="1" applyFont="1" applyFill="1" applyBorder="1" applyAlignment="1">
      <x:alignment vertical="center" wrapText="1"/>
    </x:xf>
    <x:xf numFmtId="0" fontId="25" fillId="87" borderId="10" xfId="0" applyNumberFormat="1" applyFont="1" applyFill="1" applyBorder="1" applyAlignment="1">
      <x:alignment vertical="top" wrapText="1"/>
    </x:xf>
    <x:xf numFmtId="0" fontId="25" fillId="87" borderId="10" xfId="0" applyNumberFormat="1" applyFont="1" applyFill="1" applyBorder="1"/>
    <x:xf numFmtId="0" fontId="25" fillId="87" borderId="10" xfId="0" applyNumberFormat="1" applyFont="1" applyFill="1" applyBorder="1" applyAlignment="1">
      <x:alignment wrapText="1"/>
    </x:xf>
    <x:xf numFmtId="0" fontId="25" fillId="87" borderId="1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3" fillId="88" borderId="1" xfId="0" applyNumberFormat="1" applyFont="1" applyFill="1" applyBorder="1" applyAlignment="1">
      <x:alignment horizontal="center" vertical="center" wrapText="1"/>
    </x:xf>
    <x:xf numFmtId="0" fontId="10" fillId="89" borderId="15" xfId="0" applyNumberFormat="1" applyFont="1" applyFill="1" applyBorder="1" applyAlignment="1">
      <x:alignment horizontal="center" vertical="top" wrapText="1"/>
    </x:xf>
    <x:xf numFmtId="0" fontId="11" fillId="89" borderId="16" xfId="0" applyNumberFormat="1" applyFont="1" applyFill="1" applyBorder="1" applyAlignment="1">
      <x:alignment horizontal="center" vertical="top" wrapText="1"/>
    </x:xf>
    <x:xf numFmtId="201" fontId="11" fillId="89" borderId="16" xfId="0" applyNumberFormat="1" applyFont="1" applyFill="1" applyBorder="1" applyAlignment="1">
      <x:alignment horizontal="center" vertical="top" wrapText="1"/>
    </x:xf>
    <x:xf numFmtId="0" fontId="11" fillId="89" borderId="16" xfId="0" applyNumberFormat="1" applyFont="1" applyFill="1" applyBorder="1" applyAlignment="1">
      <x:alignment vertical="top" wrapText="1"/>
    </x:xf>
    <x:xf numFmtId="0" fontId="11" fillId="89" borderId="17" xfId="0" applyNumberFormat="1" applyFont="1" applyFill="1" applyBorder="1" applyAlignment="1">
      <x:alignment vertical="top" wrapText="1"/>
    </x:xf>
    <x:xf numFmtId="0" fontId="11" fillId="90" borderId="18" xfId="0" applyNumberFormat="1" applyFont="1" applyFill="1" applyBorder="1" applyAlignment="1">
      <x:alignment horizontal="center" vertical="top" wrapText="1"/>
    </x:xf>
    <x:xf numFmtId="0" fontId="11" fillId="90" borderId="19" xfId="0" applyNumberFormat="1" applyFont="1" applyFill="1" applyBorder="1" applyAlignment="1">
      <x:alignment horizontal="center" vertical="top" wrapText="1"/>
    </x:xf>
    <x:xf numFmtId="201" fontId="11" fillId="90" borderId="19" xfId="0" applyNumberFormat="1" applyFont="1" applyFill="1" applyBorder="1" applyAlignment="1">
      <x:alignment horizontal="center" vertical="top" wrapText="1"/>
    </x:xf>
    <x:xf numFmtId="0" fontId="11" fillId="90" borderId="19" xfId="0" applyNumberFormat="1" applyFont="1" applyFill="1" applyBorder="1" applyAlignment="1">
      <x:alignment vertical="top" wrapText="1"/>
    </x:xf>
    <x:xf numFmtId="0" fontId="11" fillId="90" borderId="20" xfId="0" applyNumberFormat="1" applyFont="1" applyFill="1" applyBorder="1" applyAlignment="1">
      <x:alignment vertical="top" wrapText="1"/>
    </x:xf>
    <x:xf numFmtId="0" fontId="10" fillId="89" borderId="18" xfId="0" applyNumberFormat="1" applyFont="1" applyFill="1" applyBorder="1" applyAlignment="1">
      <x:alignment horizontal="center" vertical="top" wrapText="1"/>
    </x:xf>
    <x:xf numFmtId="0" fontId="11" fillId="89" borderId="19" xfId="0" applyNumberFormat="1" applyFont="1" applyFill="1" applyBorder="1" applyAlignment="1">
      <x:alignment horizontal="center" vertical="top" wrapText="1"/>
    </x:xf>
    <x:xf numFmtId="201" fontId="11" fillId="89" borderId="19" xfId="0" applyNumberFormat="1" applyFont="1" applyFill="1" applyBorder="1" applyAlignment="1">
      <x:alignment horizontal="center" vertical="top" wrapText="1"/>
    </x:xf>
    <x:xf numFmtId="0" fontId="11" fillId="89" borderId="19" xfId="0" applyNumberFormat="1" applyFont="1" applyFill="1" applyBorder="1" applyAlignment="1">
      <x:alignment vertical="top" wrapText="1"/>
    </x:xf>
    <x:xf numFmtId="0" fontId="11" fillId="89" borderId="20" xfId="0" applyNumberFormat="1" applyFont="1" applyFill="1" applyBorder="1" applyAlignment="1">
      <x:alignment vertical="top" wrapText="1"/>
    </x:xf>
    <x:xf numFmtId="0" fontId="10" fillId="90" borderId="18" xfId="0" applyNumberFormat="1" applyFont="1" applyFill="1" applyBorder="1" applyAlignment="1">
      <x:alignment horizontal="center" vertical="top" wrapText="1"/>
    </x:xf>
    <x:xf numFmtId="0" fontId="11" fillId="89" borderId="18" xfId="0" applyNumberFormat="1" applyFont="1" applyFill="1" applyBorder="1" applyAlignment="1">
      <x:alignment horizontal="center" vertical="top" wrapText="1"/>
    </x:xf>
    <x:xf numFmtId="0" fontId="11" fillId="90" borderId="21" xfId="0" applyNumberFormat="1" applyFont="1" applyFill="1" applyBorder="1" applyAlignment="1">
      <x:alignment horizontal="center" vertical="top" wrapText="1"/>
    </x:xf>
    <x:xf numFmtId="0" fontId="11" fillId="90" borderId="22" xfId="0" applyNumberFormat="1" applyFont="1" applyFill="1" applyBorder="1" applyAlignment="1">
      <x:alignment horizontal="center" vertical="top" wrapText="1"/>
    </x:xf>
    <x:xf numFmtId="201" fontId="11" fillId="90" borderId="22" xfId="0" applyNumberFormat="1" applyFont="1" applyFill="1" applyBorder="1" applyAlignment="1">
      <x:alignment horizontal="center" vertical="top" wrapText="1"/>
    </x:xf>
    <x:xf numFmtId="0" fontId="11" fillId="90" borderId="22" xfId="0" applyNumberFormat="1" applyFont="1" applyFill="1" applyBorder="1" applyAlignment="1">
      <x:alignment vertical="top" wrapText="1"/>
    </x:xf>
    <x:xf numFmtId="0" fontId="11" fillId="90" borderId="23" xfId="0" applyNumberFormat="1" applyFont="1" applyFill="1" applyBorder="1" applyAlignment="1">
      <x:alignment vertical="top" wrapText="1"/>
    </x:xf>
    <x:xf numFmtId="0" fontId="11" fillId="89" borderId="0" xfId="0" applyNumberFormat="1" applyFont="1" applyFill="1" applyBorder="1" applyAlignment="1">
      <x:alignment horizontal="center" vertical="top" wrapText="1"/>
    </x:xf>
    <x:xf numFmtId="201" fontId="11" fillId="89" borderId="0" xfId="0" applyNumberFormat="1" applyFont="1" applyFill="1" applyBorder="1" applyAlignment="1">
      <x:alignment horizontal="center" vertical="top" wrapText="1"/>
    </x:xf>
    <x:xf numFmtId="0" fontId="11" fillId="89" borderId="0" xfId="0" applyNumberFormat="1" applyFont="1" applyFill="1" applyBorder="1" applyAlignment="1">
      <x:alignment vertical="top" wrapText="1"/>
    </x:xf>
    <x:xf numFmtId="0" fontId="11" fillId="90" borderId="0" xfId="0" applyNumberFormat="1" applyFont="1" applyFill="1" applyBorder="1" applyAlignment="1">
      <x:alignment horizontal="center" vertical="top" wrapText="1"/>
    </x:xf>
    <x:xf numFmtId="201" fontId="11" fillId="90" borderId="0" xfId="0" applyNumberFormat="1" applyFont="1" applyFill="1" applyBorder="1" applyAlignment="1">
      <x:alignment horizontal="center" vertical="top" wrapText="1"/>
    </x:xf>
    <x:xf numFmtId="0" fontId="11" fillId="90" borderId="0" xfId="0" applyNumberFormat="1" applyFont="1" applyFill="1" applyBorder="1" applyAlignment="1">
      <x:alignment vertical="top" wrapText="1"/>
    </x:xf>
    <x:xf numFmtId="0" fontId="11" fillId="89" borderId="15" xfId="0" applyNumberFormat="1" applyFont="1" applyFill="1" applyBorder="1" applyAlignment="1">
      <x:alignment horizontal="center" vertical="top" wrapText="1"/>
    </x:xf>
    <x:xf numFmtId="0" fontId="11" fillId="91" borderId="15" xfId="0" applyNumberFormat="1" applyFont="1" applyFill="1" applyBorder="1" applyAlignment="1">
      <x:alignment horizontal="center" vertical="top" wrapText="1"/>
    </x:xf>
    <x:xf numFmtId="0" fontId="11" fillId="91" borderId="16" xfId="0" applyNumberFormat="1" applyFont="1" applyFill="1" applyBorder="1" applyAlignment="1">
      <x:alignment horizontal="center" vertical="top" wrapText="1"/>
    </x:xf>
    <x:xf numFmtId="0" fontId="11" fillId="91" borderId="16" xfId="0" applyNumberFormat="1" applyFont="1" applyFill="1" applyBorder="1" applyAlignment="1">
      <x:alignment vertical="top" wrapText="1"/>
    </x:xf>
    <x:xf numFmtId="0" fontId="11" fillId="91" borderId="17" xfId="0" applyNumberFormat="1" applyFont="1" applyFill="1" applyBorder="1" applyAlignment="1">
      <x:alignment vertical="top" wrapText="1"/>
    </x:xf>
    <x:xf numFmtId="0" fontId="11" fillId="91" borderId="18" xfId="0" applyNumberFormat="1" applyFont="1" applyFill="1" applyBorder="1" applyAlignment="1">
      <x:alignment horizontal="center" vertical="top" wrapText="1"/>
    </x:xf>
    <x:xf numFmtId="0" fontId="11" fillId="91" borderId="19" xfId="0" applyNumberFormat="1" applyFont="1" applyFill="1" applyBorder="1" applyAlignment="1">
      <x:alignment horizontal="center" vertical="top" wrapText="1"/>
    </x:xf>
    <x:xf numFmtId="0" fontId="11" fillId="91" borderId="19" xfId="0" applyNumberFormat="1" applyFont="1" applyFill="1" applyBorder="1" applyAlignment="1">
      <x:alignment vertical="top" wrapText="1"/>
    </x:xf>
    <x:xf numFmtId="0" fontId="11" fillId="91" borderId="20" xfId="0" applyNumberFormat="1" applyFont="1" applyFill="1" applyBorder="1" applyAlignment="1">
      <x:alignment vertical="top" wrapText="1"/>
    </x:xf>
    <x:xf numFmtId="0" fontId="11" fillId="91" borderId="0" xfId="0" applyNumberFormat="1" applyFont="1" applyFill="1" applyBorder="1" applyAlignment="1">
      <x:alignment horizontal="center" vertical="top" wrapText="1"/>
    </x:xf>
    <x:xf numFmtId="0" fontId="11" fillId="91" borderId="0" xfId="0" applyNumberFormat="1" applyFont="1" applyFill="1" applyBorder="1" applyAlignment="1">
      <x:alignment vertical="top" wrapText="1"/>
    </x:xf>
    <x:xf numFmtId="200" fontId="11" fillId="89" borderId="16" xfId="0" applyNumberFormat="1" applyFont="1" applyFill="1" applyBorder="1" applyAlignment="1">
      <x:alignment horizontal="center" vertical="top" wrapText="1"/>
    </x:xf>
    <x:xf numFmtId="200" fontId="11" fillId="90" borderId="19" xfId="0" applyNumberFormat="1" applyFont="1" applyFill="1" applyBorder="1" applyAlignment="1">
      <x:alignment horizontal="center" vertical="top" wrapText="1"/>
    </x:xf>
    <x:xf numFmtId="200" fontId="11" fillId="89" borderId="19" xfId="0" applyNumberFormat="1" applyFont="1" applyFill="1" applyBorder="1" applyAlignment="1">
      <x:alignment horizontal="center" vertical="top" wrapText="1"/>
    </x:xf>
    <x:xf numFmtId="0" fontId="1" fillId="92" borderId="0" xfId="0" applyNumberFormat="1" applyFont="1" applyFill="1" applyBorder="1" applyAlignment="1">
      <x:alignment horizontal="left" vertical="center"/>
    </x:xf>
    <x:xf numFmtId="0" fontId="14" fillId="89" borderId="11" xfId="0" applyNumberFormat="1" applyFont="1" applyFill="1" applyBorder="1" applyAlignment="1">
      <x:alignment vertical="center" wrapText="1"/>
    </x:xf>
    <x:xf numFmtId="202" fontId="13" fillId="89" borderId="11" xfId="0" applyNumberFormat="1" applyFont="1" applyFill="1" applyBorder="1" applyAlignment="1">
      <x:alignment vertical="center" wrapText="1"/>
    </x:xf>
    <x:xf numFmtId="0" fontId="13" fillId="89" borderId="11" xfId="0" applyNumberFormat="1" applyFont="1" applyFill="1" applyBorder="1" applyAlignment="1">
      <x:alignment vertical="center" wrapText="1"/>
    </x:xf>
    <x:xf numFmtId="0" fontId="15" fillId="93" borderId="0" xfId="0" applyNumberFormat="1" applyFont="1" applyFill="1" applyBorder="1" applyAlignment="1">
      <x:alignment vertical="center" wrapText="1"/>
    </x:xf>
    <x:xf numFmtId="0" fontId="16" fillId="89" borderId="11" xfId="0" applyNumberFormat="1" applyFont="1" applyFill="1" applyBorder="1" applyAlignment="1">
      <x:alignment horizontal="center" vertical="center"/>
    </x:xf>
    <x:xf numFmtId="0" fontId="16" fillId="90" borderId="11" xfId="0" applyNumberFormat="1" applyFont="1" applyFill="1" applyBorder="1" applyAlignment="1">
      <x:alignment horizontal="center" vertical="center"/>
    </x:xf>
    <x:xf numFmtId="203" fontId="16" fillId="90" borderId="11" xfId="0" applyNumberFormat="1" applyFont="1" applyFill="1" applyBorder="1" applyAlignment="1">
      <x:alignment horizontal="center" vertical="center"/>
    </x:xf>
    <x:xf numFmtId="0" fontId="17" fillId="94" borderId="12" xfId="0" applyNumberFormat="1" applyFont="1" applyFill="1" applyBorder="1" applyAlignment="1">
      <x:alignment vertical="center" wrapText="1"/>
    </x:xf>
    <x:xf numFmtId="0" fontId="18" fillId="95" borderId="13" xfId="0" applyNumberFormat="1" applyFont="1" applyFill="1" applyBorder="1" applyAlignment="1">
      <x:alignment horizontal="center" vertical="center" wrapText="1"/>
    </x:xf>
    <x:xf numFmtId="0" fontId="11" fillId="96" borderId="14" xfId="0" applyNumberFormat="1" applyFont="1" applyFill="1" applyBorder="1" applyAlignment="1">
      <x:alignment vertical="top" wrapText="1"/>
    </x:xf>
    <x:xf numFmtId="202" fontId="11" fillId="96" borderId="14" xfId="0" applyNumberFormat="1" applyFont="1" applyFill="1" applyBorder="1" applyAlignment="1">
      <x:alignment vertical="top" wrapText="1"/>
    </x:xf>
    <x:xf numFmtId="0" fontId="11" fillId="96" borderId="14" xfId="0" applyNumberFormat="1" applyFont="1" applyFill="1" applyBorder="1" applyAlignment="1">
      <x:alignment horizontal="center" vertical="top" wrapText="1"/>
    </x:xf>
    <x:xf numFmtId="0" fontId="11" fillId="90" borderId="14" xfId="0" applyNumberFormat="1" applyFont="1" applyFill="1" applyBorder="1" applyAlignment="1">
      <x:alignment vertical="top" wrapText="1"/>
    </x:xf>
    <x:xf numFmtId="202" fontId="11" fillId="90" borderId="14" xfId="0" applyNumberFormat="1" applyFont="1" applyFill="1" applyBorder="1" applyAlignment="1">
      <x:alignment vertical="top" wrapText="1"/>
    </x:xf>
    <x:xf numFmtId="0" fontId="11" fillId="90" borderId="14" xfId="0" applyNumberFormat="1" applyFont="1" applyFill="1" applyBorder="1" applyAlignment="1">
      <x:alignment horizontal="center" vertical="top" wrapText="1"/>
    </x:xf>
    <x:xf numFmtId="0" fontId="11" fillId="96" borderId="0" xfId="0" applyNumberFormat="1" applyFont="1" applyFill="1" applyBorder="1" applyAlignment="1">
      <x:alignment vertical="top" wrapText="1"/>
    </x:xf>
    <x:xf numFmtId="0" fontId="11" fillId="96" borderId="0" xfId="0" applyNumberFormat="1" applyFont="1" applyFill="1" applyBorder="1" applyAlignment="1">
      <x:alignment horizontal="center" vertical="top" wrapText="1"/>
    </x:xf>
    <x:xf numFmtId="0" fontId="0" fillId="96" borderId="0" xfId="0" applyNumberFormat="1" applyFont="1" applyFill="1" applyBorder="1"/>
    <x:xf numFmtId="0" fontId="0" fillId="96" borderId="0" xfId="0" applyNumberFormat="1" applyFont="1" applyFill="1" applyBorder="1" applyAlignment="1">
      <x:alignment wrapText="1"/>
    </x:xf>
    <x:xf numFmtId="0" fontId="0" fillId="96" borderId="0" xfId="0" applyNumberFormat="1" applyFont="1" applyFill="1" applyBorder="1" applyAlignment="1">
      <x:alignment vertical="top" wrapText="1"/>
    </x:xf>
    <x:xf numFmtId="0" fontId="1" fillId="92" borderId="0" xfId="0" applyNumberFormat="1" applyFont="1" applyFill="1" applyBorder="1" applyAlignment="1">
      <x:alignment vertical="center"/>
    </x:xf>
    <x:xf numFmtId="0" fontId="13" fillId="89" borderId="0" xfId="0" applyNumberFormat="1" applyFont="1" applyFill="1" applyBorder="1" applyAlignment="1">
      <x:alignment vertical="center" wrapText="1"/>
    </x:xf>
    <x:xf numFmtId="0" fontId="3" fillId="88" borderId="0" xfId="0" applyNumberFormat="1" applyFont="1" applyFill="1" applyBorder="1" applyAlignment="1">
      <x:alignment horizontal="center" vertical="center" wrapText="1"/>
    </x:xf>
    <x:xf numFmtId="0" fontId="20" fillId="97" borderId="10" xfId="0" applyNumberFormat="1" applyFont="1" applyFill="1" applyBorder="1" applyAlignment="1">
      <x:alignment vertical="top" wrapText="1"/>
    </x:xf>
    <x:xf numFmtId="0" fontId="20" fillId="97" borderId="10" xfId="0" applyNumberFormat="1" applyFont="1" applyFill="1" applyBorder="1"/>
    <x:xf numFmtId="0" fontId="20" fillId="97" borderId="10" xfId="0" applyNumberFormat="1" applyFont="1" applyFill="1" applyBorder="1" applyAlignment="1">
      <x:alignment wrapText="1"/>
    </x:xf>
    <x:xf numFmtId="0" fontId="20" fillId="97" borderId="10" xfId="0" applyNumberFormat="1" applyFont="1" applyFill="1" applyBorder="1" applyAlignment="1">
      <x:alignment vertical="center" wrapText="1"/>
    </x:xf>
    <x:xf numFmtId="0" fontId="26" fillId="97" borderId="10" xfId="0" applyNumberFormat="1" applyFont="1" applyFill="1" applyBorder="1" applyAlignment="1">
      <x:alignment vertical="top" wrapText="1"/>
    </x:xf>
    <x:xf numFmtId="0" fontId="26" fillId="97" borderId="10" xfId="0" applyNumberFormat="1" applyFont="1" applyFill="1" applyBorder="1"/>
    <x:xf numFmtId="0" fontId="26" fillId="97" borderId="10" xfId="0" applyNumberFormat="1" applyFont="1" applyFill="1" applyBorder="1" applyAlignment="1">
      <x:alignment wrapText="1"/>
    </x:xf>
    <x:xf numFmtId="0" fontId="26" fillId="97" borderId="10" xfId="0" applyNumberFormat="1" applyFont="1" applyFill="1" applyBorder="1" applyAlignment="1">
      <x:alignment vertical="center" wrapText="1"/>
    </x:xf>
    <x:xf numFmtId="0" fontId="3" fillId="98" borderId="1" xfId="0" applyNumberFormat="1" applyFont="1" applyFill="1" applyBorder="1" applyAlignment="1">
      <x:alignment horizontal="center" vertical="center" wrapText="1"/>
    </x:xf>
    <x:xf numFmtId="0" fontId="10" fillId="99" borderId="15" xfId="0" applyNumberFormat="1" applyFont="1" applyFill="1" applyBorder="1" applyAlignment="1">
      <x:alignment horizontal="center" vertical="top" wrapText="1"/>
    </x:xf>
    <x:xf numFmtId="0" fontId="11" fillId="99" borderId="16" xfId="0" applyNumberFormat="1" applyFont="1" applyFill="1" applyBorder="1" applyAlignment="1">
      <x:alignment horizontal="center" vertical="top" wrapText="1"/>
    </x:xf>
    <x:xf numFmtId="201" fontId="11" fillId="99" borderId="16" xfId="0" applyNumberFormat="1" applyFont="1" applyFill="1" applyBorder="1" applyAlignment="1">
      <x:alignment horizontal="center" vertical="top" wrapText="1"/>
    </x:xf>
    <x:xf numFmtId="0" fontId="11" fillId="99" borderId="16" xfId="0" applyNumberFormat="1" applyFont="1" applyFill="1" applyBorder="1" applyAlignment="1">
      <x:alignment vertical="top" wrapText="1"/>
    </x:xf>
    <x:xf numFmtId="0" fontId="11" fillId="99" borderId="17" xfId="0" applyNumberFormat="1" applyFont="1" applyFill="1" applyBorder="1" applyAlignment="1">
      <x:alignment vertical="top" wrapText="1"/>
    </x:xf>
    <x:xf numFmtId="0" fontId="11" fillId="100" borderId="18" xfId="0" applyNumberFormat="1" applyFont="1" applyFill="1" applyBorder="1" applyAlignment="1">
      <x:alignment horizontal="center" vertical="top" wrapText="1"/>
    </x:xf>
    <x:xf numFmtId="0" fontId="11" fillId="100" borderId="19" xfId="0" applyNumberFormat="1" applyFont="1" applyFill="1" applyBorder="1" applyAlignment="1">
      <x:alignment horizontal="center" vertical="top" wrapText="1"/>
    </x:xf>
    <x:xf numFmtId="201" fontId="11" fillId="100" borderId="19" xfId="0" applyNumberFormat="1" applyFont="1" applyFill="1" applyBorder="1" applyAlignment="1">
      <x:alignment horizontal="center" vertical="top" wrapText="1"/>
    </x:xf>
    <x:xf numFmtId="0" fontId="11" fillId="100" borderId="19" xfId="0" applyNumberFormat="1" applyFont="1" applyFill="1" applyBorder="1" applyAlignment="1">
      <x:alignment vertical="top" wrapText="1"/>
    </x:xf>
    <x:xf numFmtId="0" fontId="11" fillId="100" borderId="20" xfId="0" applyNumberFormat="1" applyFont="1" applyFill="1" applyBorder="1" applyAlignment="1">
      <x:alignment vertical="top" wrapText="1"/>
    </x:xf>
    <x:xf numFmtId="0" fontId="10" fillId="99" borderId="18" xfId="0" applyNumberFormat="1" applyFont="1" applyFill="1" applyBorder="1" applyAlignment="1">
      <x:alignment horizontal="center" vertical="top" wrapText="1"/>
    </x:xf>
    <x:xf numFmtId="0" fontId="11" fillId="99" borderId="19" xfId="0" applyNumberFormat="1" applyFont="1" applyFill="1" applyBorder="1" applyAlignment="1">
      <x:alignment horizontal="center" vertical="top" wrapText="1"/>
    </x:xf>
    <x:xf numFmtId="201" fontId="11" fillId="99" borderId="19" xfId="0" applyNumberFormat="1" applyFont="1" applyFill="1" applyBorder="1" applyAlignment="1">
      <x:alignment horizontal="center" vertical="top" wrapText="1"/>
    </x:xf>
    <x:xf numFmtId="0" fontId="11" fillId="99" borderId="19" xfId="0" applyNumberFormat="1" applyFont="1" applyFill="1" applyBorder="1" applyAlignment="1">
      <x:alignment vertical="top" wrapText="1"/>
    </x:xf>
    <x:xf numFmtId="0" fontId="11" fillId="99" borderId="20" xfId="0" applyNumberFormat="1" applyFont="1" applyFill="1" applyBorder="1" applyAlignment="1">
      <x:alignment vertical="top" wrapText="1"/>
    </x:xf>
    <x:xf numFmtId="0" fontId="10" fillId="100" borderId="18" xfId="0" applyNumberFormat="1" applyFont="1" applyFill="1" applyBorder="1" applyAlignment="1">
      <x:alignment horizontal="center" vertical="top" wrapText="1"/>
    </x:xf>
    <x:xf numFmtId="0" fontId="11" fillId="99" borderId="18" xfId="0" applyNumberFormat="1" applyFont="1" applyFill="1" applyBorder="1" applyAlignment="1">
      <x:alignment horizontal="center" vertical="top" wrapText="1"/>
    </x:xf>
    <x:xf numFmtId="0" fontId="11" fillId="100" borderId="21" xfId="0" applyNumberFormat="1" applyFont="1" applyFill="1" applyBorder="1" applyAlignment="1">
      <x:alignment horizontal="center" vertical="top" wrapText="1"/>
    </x:xf>
    <x:xf numFmtId="0" fontId="11" fillId="100" borderId="22" xfId="0" applyNumberFormat="1" applyFont="1" applyFill="1" applyBorder="1" applyAlignment="1">
      <x:alignment horizontal="center" vertical="top" wrapText="1"/>
    </x:xf>
    <x:xf numFmtId="201" fontId="11" fillId="100" borderId="22" xfId="0" applyNumberFormat="1" applyFont="1" applyFill="1" applyBorder="1" applyAlignment="1">
      <x:alignment horizontal="center" vertical="top" wrapText="1"/>
    </x:xf>
    <x:xf numFmtId="0" fontId="11" fillId="100" borderId="22" xfId="0" applyNumberFormat="1" applyFont="1" applyFill="1" applyBorder="1" applyAlignment="1">
      <x:alignment vertical="top" wrapText="1"/>
    </x:xf>
    <x:xf numFmtId="0" fontId="11" fillId="100" borderId="23" xfId="0" applyNumberFormat="1" applyFont="1" applyFill="1" applyBorder="1" applyAlignment="1">
      <x:alignment vertical="top" wrapText="1"/>
    </x:xf>
    <x:xf numFmtId="0" fontId="11" fillId="99" borderId="0" xfId="0" applyNumberFormat="1" applyFont="1" applyFill="1" applyBorder="1" applyAlignment="1">
      <x:alignment horizontal="center" vertical="top" wrapText="1"/>
    </x:xf>
    <x:xf numFmtId="201" fontId="11" fillId="99" borderId="0" xfId="0" applyNumberFormat="1" applyFont="1" applyFill="1" applyBorder="1" applyAlignment="1">
      <x:alignment horizontal="center" vertical="top" wrapText="1"/>
    </x:xf>
    <x:xf numFmtId="0" fontId="11" fillId="99" borderId="0" xfId="0" applyNumberFormat="1" applyFont="1" applyFill="1" applyBorder="1" applyAlignment="1">
      <x:alignment vertical="top" wrapText="1"/>
    </x:xf>
    <x:xf numFmtId="0" fontId="11" fillId="100" borderId="0" xfId="0" applyNumberFormat="1" applyFont="1" applyFill="1" applyBorder="1" applyAlignment="1">
      <x:alignment horizontal="center" vertical="top" wrapText="1"/>
    </x:xf>
    <x:xf numFmtId="201" fontId="11" fillId="100" borderId="0" xfId="0" applyNumberFormat="1" applyFont="1" applyFill="1" applyBorder="1" applyAlignment="1">
      <x:alignment horizontal="center" vertical="top" wrapText="1"/>
    </x:xf>
    <x:xf numFmtId="0" fontId="11" fillId="100" borderId="0" xfId="0" applyNumberFormat="1" applyFont="1" applyFill="1" applyBorder="1" applyAlignment="1">
      <x:alignment vertical="top" wrapText="1"/>
    </x:xf>
    <x:xf numFmtId="0" fontId="11" fillId="101" borderId="15" xfId="0" applyNumberFormat="1" applyFont="1" applyFill="1" applyBorder="1" applyAlignment="1">
      <x:alignment horizontal="center" vertical="top" wrapText="1"/>
    </x:xf>
    <x:xf numFmtId="201" fontId="11" fillId="101" borderId="16" xfId="0" applyNumberFormat="1" applyFont="1" applyFill="1" applyBorder="1" applyAlignment="1">
      <x:alignment horizontal="center" vertical="top" wrapText="1"/>
    </x:xf>
    <x:xf numFmtId="0" fontId="11" fillId="101" borderId="16" xfId="0" applyNumberFormat="1" applyFont="1" applyFill="1" applyBorder="1" applyAlignment="1">
      <x:alignment horizontal="center" vertical="top" wrapText="1"/>
    </x:xf>
    <x:xf numFmtId="0" fontId="11" fillId="101" borderId="16" xfId="0" applyNumberFormat="1" applyFont="1" applyFill="1" applyBorder="1" applyAlignment="1">
      <x:alignment vertical="top" wrapText="1"/>
    </x:xf>
    <x:xf numFmtId="0" fontId="11" fillId="101" borderId="17" xfId="0" applyNumberFormat="1" applyFont="1" applyFill="1" applyBorder="1" applyAlignment="1">
      <x:alignment horizontal="center" vertical="top" wrapText="1"/>
    </x:xf>
    <x:xf numFmtId="0" fontId="11" fillId="99" borderId="15" xfId="0" applyNumberFormat="1" applyFont="1" applyFill="1" applyBorder="1" applyAlignment="1">
      <x:alignment horizontal="center" vertical="top" wrapText="1"/>
    </x:xf>
    <x:xf numFmtId="0" fontId="11" fillId="102" borderId="15" xfId="0" applyNumberFormat="1" applyFont="1" applyFill="1" applyBorder="1" applyAlignment="1">
      <x:alignment horizontal="center" vertical="top" wrapText="1"/>
    </x:xf>
    <x:xf numFmtId="0" fontId="11" fillId="102" borderId="16" xfId="0" applyNumberFormat="1" applyFont="1" applyFill="1" applyBorder="1" applyAlignment="1">
      <x:alignment horizontal="center" vertical="top" wrapText="1"/>
    </x:xf>
    <x:xf numFmtId="0" fontId="11" fillId="102" borderId="16" xfId="0" applyNumberFormat="1" applyFont="1" applyFill="1" applyBorder="1" applyAlignment="1">
      <x:alignment vertical="top" wrapText="1"/>
    </x:xf>
    <x:xf numFmtId="0" fontId="11" fillId="102" borderId="17" xfId="0" applyNumberFormat="1" applyFont="1" applyFill="1" applyBorder="1" applyAlignment="1">
      <x:alignment vertical="top" wrapText="1"/>
    </x:xf>
    <x:xf numFmtId="0" fontId="11" fillId="102" borderId="18" xfId="0" applyNumberFormat="1" applyFont="1" applyFill="1" applyBorder="1" applyAlignment="1">
      <x:alignment horizontal="center" vertical="top" wrapText="1"/>
    </x:xf>
    <x:xf numFmtId="0" fontId="11" fillId="102" borderId="19" xfId="0" applyNumberFormat="1" applyFont="1" applyFill="1" applyBorder="1" applyAlignment="1">
      <x:alignment horizontal="center" vertical="top" wrapText="1"/>
    </x:xf>
    <x:xf numFmtId="0" fontId="11" fillId="102" borderId="19" xfId="0" applyNumberFormat="1" applyFont="1" applyFill="1" applyBorder="1" applyAlignment="1">
      <x:alignment vertical="top" wrapText="1"/>
    </x:xf>
    <x:xf numFmtId="0" fontId="11" fillId="102" borderId="20" xfId="0" applyNumberFormat="1" applyFont="1" applyFill="1" applyBorder="1" applyAlignment="1">
      <x:alignment vertical="top" wrapText="1"/>
    </x:xf>
    <x:xf numFmtId="0" fontId="11" fillId="102" borderId="0" xfId="0" applyNumberFormat="1" applyFont="1" applyFill="1" applyBorder="1" applyAlignment="1">
      <x:alignment horizontal="center" vertical="top" wrapText="1"/>
    </x:xf>
    <x:xf numFmtId="0" fontId="11" fillId="102" borderId="0" xfId="0" applyNumberFormat="1" applyFont="1" applyFill="1" applyBorder="1" applyAlignment="1">
      <x:alignment vertical="top" wrapText="1"/>
    </x:xf>
    <x:xf numFmtId="200" fontId="11" fillId="99" borderId="16" xfId="0" applyNumberFormat="1" applyFont="1" applyFill="1" applyBorder="1" applyAlignment="1">
      <x:alignment horizontal="center" vertical="top" wrapText="1"/>
    </x:xf>
    <x:xf numFmtId="200" fontId="11" fillId="100" borderId="19" xfId="0" applyNumberFormat="1" applyFont="1" applyFill="1" applyBorder="1" applyAlignment="1">
      <x:alignment horizontal="center" vertical="top" wrapText="1"/>
    </x:xf>
    <x:xf numFmtId="200" fontId="11" fillId="99" borderId="19" xfId="0" applyNumberFormat="1" applyFont="1" applyFill="1" applyBorder="1" applyAlignment="1">
      <x:alignment horizontal="center" vertical="top" wrapText="1"/>
    </x:xf>
    <x:xf numFmtId="0" fontId="1" fillId="103" borderId="0" xfId="0" applyNumberFormat="1" applyFont="1" applyFill="1" applyBorder="1" applyAlignment="1">
      <x:alignment horizontal="left" vertical="center"/>
    </x:xf>
    <x:xf numFmtId="0" fontId="14" fillId="99" borderId="11" xfId="0" applyNumberFormat="1" applyFont="1" applyFill="1" applyBorder="1" applyAlignment="1">
      <x:alignment vertical="center" wrapText="1"/>
    </x:xf>
    <x:xf numFmtId="202" fontId="13" fillId="99" borderId="11" xfId="0" applyNumberFormat="1" applyFont="1" applyFill="1" applyBorder="1" applyAlignment="1">
      <x:alignment vertical="center" wrapText="1"/>
    </x:xf>
    <x:xf numFmtId="0" fontId="13" fillId="99" borderId="11" xfId="0" applyNumberFormat="1" applyFont="1" applyFill="1" applyBorder="1" applyAlignment="1">
      <x:alignment vertical="center" wrapText="1"/>
    </x:xf>
    <x:xf numFmtId="0" fontId="15" fillId="104" borderId="0" xfId="0" applyNumberFormat="1" applyFont="1" applyFill="1" applyBorder="1" applyAlignment="1">
      <x:alignment vertical="center" wrapText="1"/>
    </x:xf>
    <x:xf numFmtId="0" fontId="16" fillId="99" borderId="11" xfId="0" applyNumberFormat="1" applyFont="1" applyFill="1" applyBorder="1" applyAlignment="1">
      <x:alignment horizontal="center" vertical="center"/>
    </x:xf>
    <x:xf numFmtId="0" fontId="16" fillId="100" borderId="11" xfId="0" applyNumberFormat="1" applyFont="1" applyFill="1" applyBorder="1" applyAlignment="1">
      <x:alignment horizontal="center" vertical="center"/>
    </x:xf>
    <x:xf numFmtId="203" fontId="16" fillId="100" borderId="11" xfId="0" applyNumberFormat="1" applyFont="1" applyFill="1" applyBorder="1" applyAlignment="1">
      <x:alignment horizontal="center" vertical="center"/>
    </x:xf>
    <x:xf numFmtId="0" fontId="17" fillId="105" borderId="12" xfId="0" applyNumberFormat="1" applyFont="1" applyFill="1" applyBorder="1" applyAlignment="1">
      <x:alignment vertical="center" wrapText="1"/>
    </x:xf>
    <x:xf numFmtId="0" fontId="18" fillId="106" borderId="13" xfId="0" applyNumberFormat="1" applyFont="1" applyFill="1" applyBorder="1" applyAlignment="1">
      <x:alignment horizontal="center" vertical="center" wrapText="1"/>
    </x:xf>
    <x:xf numFmtId="0" fontId="11" fillId="107" borderId="14" xfId="0" applyNumberFormat="1" applyFont="1" applyFill="1" applyBorder="1" applyAlignment="1">
      <x:alignment vertical="top" wrapText="1"/>
    </x:xf>
    <x:xf numFmtId="202" fontId="11" fillId="107" borderId="14" xfId="0" applyNumberFormat="1" applyFont="1" applyFill="1" applyBorder="1" applyAlignment="1">
      <x:alignment vertical="top" wrapText="1"/>
    </x:xf>
    <x:xf numFmtId="0" fontId="11" fillId="107" borderId="14" xfId="0" applyNumberFormat="1" applyFont="1" applyFill="1" applyBorder="1" applyAlignment="1">
      <x:alignment horizontal="center" vertical="top" wrapText="1"/>
    </x:xf>
    <x:xf numFmtId="0" fontId="11" fillId="100" borderId="14" xfId="0" applyNumberFormat="1" applyFont="1" applyFill="1" applyBorder="1" applyAlignment="1">
      <x:alignment vertical="top" wrapText="1"/>
    </x:xf>
    <x:xf numFmtId="202" fontId="11" fillId="100" borderId="14" xfId="0" applyNumberFormat="1" applyFont="1" applyFill="1" applyBorder="1" applyAlignment="1">
      <x:alignment vertical="top" wrapText="1"/>
    </x:xf>
    <x:xf numFmtId="0" fontId="11" fillId="100" borderId="14" xfId="0" applyNumberFormat="1" applyFont="1" applyFill="1" applyBorder="1" applyAlignment="1">
      <x:alignment horizontal="center" vertical="top" wrapText="1"/>
    </x:xf>
    <x:xf numFmtId="0" fontId="11" fillId="107" borderId="0" xfId="0" applyNumberFormat="1" applyFont="1" applyFill="1" applyBorder="1" applyAlignment="1">
      <x:alignment vertical="top" wrapText="1"/>
    </x:xf>
    <x:xf numFmtId="0" fontId="11" fillId="107" borderId="0" xfId="0" applyNumberFormat="1" applyFont="1" applyFill="1" applyBorder="1" applyAlignment="1">
      <x:alignment horizontal="center" vertical="top" wrapText="1"/>
    </x:xf>
    <x:xf numFmtId="0" fontId="0" fillId="100" borderId="0" xfId="0" applyNumberFormat="1" applyFont="1" applyFill="1" applyBorder="1"/>
    <x:xf numFmtId="0" fontId="0" fillId="107" borderId="0" xfId="0" applyNumberFormat="1" applyFont="1" applyFill="1" applyBorder="1"/>
    <x:xf numFmtId="0" fontId="0" fillId="100" borderId="0" xfId="0" applyNumberFormat="1" applyFont="1" applyFill="1" applyBorder="1" applyAlignment="1">
      <x:alignment wrapText="1"/>
    </x:xf>
    <x:xf numFmtId="0" fontId="0" fillId="107" borderId="0" xfId="0" applyNumberFormat="1" applyFont="1" applyFill="1" applyBorder="1" applyAlignment="1">
      <x:alignment wrapText="1"/>
    </x:xf>
    <x:xf numFmtId="0" fontId="0" fillId="100" borderId="0" xfId="0" applyNumberFormat="1" applyFont="1" applyFill="1" applyBorder="1" applyAlignment="1">
      <x:alignment vertical="top" wrapText="1"/>
    </x:xf>
    <x:xf numFmtId="0" fontId="0" fillId="107" borderId="0" xfId="0" applyNumberFormat="1" applyFont="1" applyFill="1" applyBorder="1" applyAlignment="1">
      <x:alignment vertical="top" wrapText="1"/>
    </x:xf>
    <x:xf numFmtId="0" fontId="1" fillId="103" borderId="0" xfId="0" applyNumberFormat="1" applyFont="1" applyFill="1" applyBorder="1" applyAlignment="1">
      <x:alignment vertical="center"/>
    </x:xf>
    <x:xf numFmtId="0" fontId="13" fillId="99" borderId="0" xfId="0" applyNumberFormat="1" applyFont="1" applyFill="1" applyBorder="1" applyAlignment="1">
      <x:alignment vertical="center" wrapText="1"/>
    </x:xf>
    <x:xf numFmtId="0" fontId="3" fillId="98" borderId="0" xfId="0" applyNumberFormat="1" applyFont="1" applyFill="1" applyBorder="1" applyAlignment="1">
      <x:alignment horizontal="center" vertical="center" wrapText="1"/>
    </x:xf>
    <x:xf numFmtId="0" fontId="20" fillId="108" borderId="10" xfId="0" applyNumberFormat="1" applyFont="1" applyFill="1" applyBorder="1" applyAlignment="1">
      <x:alignment vertical="top" wrapText="1"/>
    </x:xf>
    <x:xf numFmtId="0" fontId="20" fillId="108" borderId="10" xfId="0" applyNumberFormat="1" applyFont="1" applyFill="1" applyBorder="1"/>
    <x:xf numFmtId="0" fontId="20" fillId="108" borderId="10" xfId="0" applyNumberFormat="1" applyFont="1" applyFill="1" applyBorder="1" applyAlignment="1">
      <x:alignment wrapText="1"/>
    </x:xf>
    <x:xf numFmtId="0" fontId="20" fillId="108" borderId="10" xfId="0" applyNumberFormat="1" applyFont="1" applyFill="1" applyBorder="1" applyAlignment="1">
      <x:alignment vertical="center" wrapText="1"/>
    </x:xf>
    <x:xf numFmtId="0" fontId="27" fillId="108" borderId="10" xfId="0" applyNumberFormat="1" applyFont="1" applyFill="1" applyBorder="1" applyAlignment="1">
      <x:alignment vertical="top" wrapText="1"/>
    </x:xf>
    <x:xf numFmtId="0" fontId="27" fillId="108" borderId="10" xfId="0" applyNumberFormat="1" applyFont="1" applyFill="1" applyBorder="1"/>
    <x:xf numFmtId="0" fontId="27" fillId="108" borderId="10" xfId="0" applyNumberFormat="1" applyFont="1" applyFill="1" applyBorder="1" applyAlignment="1">
      <x:alignment wrapText="1"/>
    </x:xf>
    <x:xf numFmtId="0" fontId="27" fillId="108" borderId="10" xfId="0" applyNumberFormat="1" applyFont="1" applyFill="1" applyBorder="1" applyAlignment="1">
      <x:alignment vertical="center" wrapText="1"/>
    </x:xf>
    <x:xf numFmtId="0" fontId="3" fillId="109" borderId="1" xfId="0" applyNumberFormat="1" applyFont="1" applyFill="1" applyBorder="1" applyAlignment="1">
      <x:alignment horizontal="center" vertical="center" wrapText="1"/>
    </x:xf>
    <x:xf numFmtId="0" fontId="10" fillId="110" borderId="15" xfId="0" applyNumberFormat="1" applyFont="1" applyFill="1" applyBorder="1" applyAlignment="1">
      <x:alignment horizontal="center" vertical="top" wrapText="1"/>
    </x:xf>
    <x:xf numFmtId="0" fontId="11" fillId="110" borderId="16" xfId="0" applyNumberFormat="1" applyFont="1" applyFill="1" applyBorder="1" applyAlignment="1">
      <x:alignment horizontal="center" vertical="top" wrapText="1"/>
    </x:xf>
    <x:xf numFmtId="201" fontId="11" fillId="110" borderId="16" xfId="0" applyNumberFormat="1" applyFont="1" applyFill="1" applyBorder="1" applyAlignment="1">
      <x:alignment horizontal="center" vertical="top" wrapText="1"/>
    </x:xf>
    <x:xf numFmtId="0" fontId="11" fillId="110" borderId="16" xfId="0" applyNumberFormat="1" applyFont="1" applyFill="1" applyBorder="1" applyAlignment="1">
      <x:alignment vertical="top" wrapText="1"/>
    </x:xf>
    <x:xf numFmtId="0" fontId="11" fillId="110" borderId="17" xfId="0" applyNumberFormat="1" applyFont="1" applyFill="1" applyBorder="1" applyAlignment="1">
      <x:alignment vertical="top" wrapText="1"/>
    </x:xf>
    <x:xf numFmtId="0" fontId="11" fillId="111" borderId="18" xfId="0" applyNumberFormat="1" applyFont="1" applyFill="1" applyBorder="1" applyAlignment="1">
      <x:alignment horizontal="center" vertical="top" wrapText="1"/>
    </x:xf>
    <x:xf numFmtId="0" fontId="11" fillId="111" borderId="19" xfId="0" applyNumberFormat="1" applyFont="1" applyFill="1" applyBorder="1" applyAlignment="1">
      <x:alignment horizontal="center" vertical="top" wrapText="1"/>
    </x:xf>
    <x:xf numFmtId="201" fontId="11" fillId="111" borderId="19" xfId="0" applyNumberFormat="1" applyFont="1" applyFill="1" applyBorder="1" applyAlignment="1">
      <x:alignment horizontal="center" vertical="top" wrapText="1"/>
    </x:xf>
    <x:xf numFmtId="0" fontId="11" fillId="111" borderId="19" xfId="0" applyNumberFormat="1" applyFont="1" applyFill="1" applyBorder="1" applyAlignment="1">
      <x:alignment vertical="top" wrapText="1"/>
    </x:xf>
    <x:xf numFmtId="0" fontId="11" fillId="111" borderId="20" xfId="0" applyNumberFormat="1" applyFont="1" applyFill="1" applyBorder="1" applyAlignment="1">
      <x:alignment vertical="top" wrapText="1"/>
    </x:xf>
    <x:xf numFmtId="0" fontId="10" fillId="110" borderId="18" xfId="0" applyNumberFormat="1" applyFont="1" applyFill="1" applyBorder="1" applyAlignment="1">
      <x:alignment horizontal="center" vertical="top" wrapText="1"/>
    </x:xf>
    <x:xf numFmtId="0" fontId="11" fillId="110" borderId="19" xfId="0" applyNumberFormat="1" applyFont="1" applyFill="1" applyBorder="1" applyAlignment="1">
      <x:alignment horizontal="center" vertical="top" wrapText="1"/>
    </x:xf>
    <x:xf numFmtId="201" fontId="11" fillId="110" borderId="19" xfId="0" applyNumberFormat="1" applyFont="1" applyFill="1" applyBorder="1" applyAlignment="1">
      <x:alignment horizontal="center" vertical="top" wrapText="1"/>
    </x:xf>
    <x:xf numFmtId="0" fontId="11" fillId="110" borderId="19" xfId="0" applyNumberFormat="1" applyFont="1" applyFill="1" applyBorder="1" applyAlignment="1">
      <x:alignment vertical="top" wrapText="1"/>
    </x:xf>
    <x:xf numFmtId="0" fontId="11" fillId="110" borderId="20" xfId="0" applyNumberFormat="1" applyFont="1" applyFill="1" applyBorder="1" applyAlignment="1">
      <x:alignment vertical="top" wrapText="1"/>
    </x:xf>
    <x:xf numFmtId="0" fontId="10" fillId="111" borderId="18" xfId="0" applyNumberFormat="1" applyFont="1" applyFill="1" applyBorder="1" applyAlignment="1">
      <x:alignment horizontal="center" vertical="top" wrapText="1"/>
    </x:xf>
    <x:xf numFmtId="0" fontId="11" fillId="110" borderId="18" xfId="0" applyNumberFormat="1" applyFont="1" applyFill="1" applyBorder="1" applyAlignment="1">
      <x:alignment horizontal="center" vertical="top" wrapText="1"/>
    </x:xf>
    <x:xf numFmtId="0" fontId="11" fillId="111" borderId="21" xfId="0" applyNumberFormat="1" applyFont="1" applyFill="1" applyBorder="1" applyAlignment="1">
      <x:alignment horizontal="center" vertical="top" wrapText="1"/>
    </x:xf>
    <x:xf numFmtId="0" fontId="11" fillId="111" borderId="22" xfId="0" applyNumberFormat="1" applyFont="1" applyFill="1" applyBorder="1" applyAlignment="1">
      <x:alignment horizontal="center" vertical="top" wrapText="1"/>
    </x:xf>
    <x:xf numFmtId="201" fontId="11" fillId="111" borderId="22" xfId="0" applyNumberFormat="1" applyFont="1" applyFill="1" applyBorder="1" applyAlignment="1">
      <x:alignment horizontal="center" vertical="top" wrapText="1"/>
    </x:xf>
    <x:xf numFmtId="0" fontId="11" fillId="111" borderId="22" xfId="0" applyNumberFormat="1" applyFont="1" applyFill="1" applyBorder="1" applyAlignment="1">
      <x:alignment vertical="top" wrapText="1"/>
    </x:xf>
    <x:xf numFmtId="0" fontId="11" fillId="111" borderId="23" xfId="0" applyNumberFormat="1" applyFont="1" applyFill="1" applyBorder="1" applyAlignment="1">
      <x:alignment vertical="top" wrapText="1"/>
    </x:xf>
    <x:xf numFmtId="0" fontId="11" fillId="110" borderId="0" xfId="0" applyNumberFormat="1" applyFont="1" applyFill="1" applyBorder="1" applyAlignment="1">
      <x:alignment horizontal="center" vertical="top" wrapText="1"/>
    </x:xf>
    <x:xf numFmtId="201" fontId="11" fillId="110" borderId="0" xfId="0" applyNumberFormat="1" applyFont="1" applyFill="1" applyBorder="1" applyAlignment="1">
      <x:alignment horizontal="center" vertical="top" wrapText="1"/>
    </x:xf>
    <x:xf numFmtId="0" fontId="11" fillId="110" borderId="0" xfId="0" applyNumberFormat="1" applyFont="1" applyFill="1" applyBorder="1" applyAlignment="1">
      <x:alignment vertical="top" wrapText="1"/>
    </x:xf>
    <x:xf numFmtId="0" fontId="11" fillId="111" borderId="0" xfId="0" applyNumberFormat="1" applyFont="1" applyFill="1" applyBorder="1" applyAlignment="1">
      <x:alignment horizontal="center" vertical="top" wrapText="1"/>
    </x:xf>
    <x:xf numFmtId="201" fontId="11" fillId="111" borderId="0" xfId="0" applyNumberFormat="1" applyFont="1" applyFill="1" applyBorder="1" applyAlignment="1">
      <x:alignment horizontal="center" vertical="top" wrapText="1"/>
    </x:xf>
    <x:xf numFmtId="0" fontId="11" fillId="111" borderId="0" xfId="0" applyNumberFormat="1" applyFont="1" applyFill="1" applyBorder="1" applyAlignment="1">
      <x:alignment vertical="top" wrapText="1"/>
    </x:xf>
    <x:xf numFmtId="0" fontId="11" fillId="110" borderId="15" xfId="0" applyNumberFormat="1" applyFont="1" applyFill="1" applyBorder="1" applyAlignment="1">
      <x:alignment horizontal="center" vertical="top" wrapText="1"/>
    </x:xf>
    <x:xf numFmtId="0" fontId="11" fillId="112" borderId="15" xfId="0" applyNumberFormat="1" applyFont="1" applyFill="1" applyBorder="1" applyAlignment="1">
      <x:alignment horizontal="center" vertical="top" wrapText="1"/>
    </x:xf>
    <x:xf numFmtId="0" fontId="11" fillId="112" borderId="16" xfId="0" applyNumberFormat="1" applyFont="1" applyFill="1" applyBorder="1" applyAlignment="1">
      <x:alignment horizontal="center" vertical="top" wrapText="1"/>
    </x:xf>
    <x:xf numFmtId="0" fontId="11" fillId="112" borderId="16" xfId="0" applyNumberFormat="1" applyFont="1" applyFill="1" applyBorder="1" applyAlignment="1">
      <x:alignment vertical="top" wrapText="1"/>
    </x:xf>
    <x:xf numFmtId="0" fontId="11" fillId="112" borderId="17" xfId="0" applyNumberFormat="1" applyFont="1" applyFill="1" applyBorder="1" applyAlignment="1">
      <x:alignment vertical="top" wrapText="1"/>
    </x:xf>
    <x:xf numFmtId="0" fontId="11" fillId="112" borderId="18" xfId="0" applyNumberFormat="1" applyFont="1" applyFill="1" applyBorder="1" applyAlignment="1">
      <x:alignment horizontal="center" vertical="top" wrapText="1"/>
    </x:xf>
    <x:xf numFmtId="0" fontId="11" fillId="112" borderId="19" xfId="0" applyNumberFormat="1" applyFont="1" applyFill="1" applyBorder="1" applyAlignment="1">
      <x:alignment horizontal="center" vertical="top" wrapText="1"/>
    </x:xf>
    <x:xf numFmtId="0" fontId="11" fillId="112" borderId="19" xfId="0" applyNumberFormat="1" applyFont="1" applyFill="1" applyBorder="1" applyAlignment="1">
      <x:alignment vertical="top" wrapText="1"/>
    </x:xf>
    <x:xf numFmtId="0" fontId="11" fillId="112" borderId="20" xfId="0" applyNumberFormat="1" applyFont="1" applyFill="1" applyBorder="1" applyAlignment="1">
      <x:alignment vertical="top" wrapText="1"/>
    </x:xf>
    <x:xf numFmtId="0" fontId="11" fillId="112" borderId="0" xfId="0" applyNumberFormat="1" applyFont="1" applyFill="1" applyBorder="1" applyAlignment="1">
      <x:alignment horizontal="center" vertical="top" wrapText="1"/>
    </x:xf>
    <x:xf numFmtId="0" fontId="11" fillId="112" borderId="0" xfId="0" applyNumberFormat="1" applyFont="1" applyFill="1" applyBorder="1" applyAlignment="1">
      <x:alignment vertical="top" wrapText="1"/>
    </x:xf>
    <x:xf numFmtId="200" fontId="11" fillId="110" borderId="16" xfId="0" applyNumberFormat="1" applyFont="1" applyFill="1" applyBorder="1" applyAlignment="1">
      <x:alignment horizontal="center" vertical="top" wrapText="1"/>
    </x:xf>
    <x:xf numFmtId="200" fontId="11" fillId="111" borderId="19" xfId="0" applyNumberFormat="1" applyFont="1" applyFill="1" applyBorder="1" applyAlignment="1">
      <x:alignment horizontal="center" vertical="top" wrapText="1"/>
    </x:xf>
    <x:xf numFmtId="200" fontId="11" fillId="110" borderId="19" xfId="0" applyNumberFormat="1" applyFont="1" applyFill="1" applyBorder="1" applyAlignment="1">
      <x:alignment horizontal="center" vertical="top" wrapText="1"/>
    </x:xf>
    <x:xf numFmtId="0" fontId="1" fillId="113" borderId="0" xfId="0" applyNumberFormat="1" applyFont="1" applyFill="1" applyBorder="1" applyAlignment="1">
      <x:alignment horizontal="left" vertical="center"/>
    </x:xf>
    <x:xf numFmtId="0" fontId="14" fillId="110" borderId="11" xfId="0" applyNumberFormat="1" applyFont="1" applyFill="1" applyBorder="1" applyAlignment="1">
      <x:alignment vertical="center" wrapText="1"/>
    </x:xf>
    <x:xf numFmtId="202" fontId="13" fillId="110" borderId="11" xfId="0" applyNumberFormat="1" applyFont="1" applyFill="1" applyBorder="1" applyAlignment="1">
      <x:alignment vertical="center" wrapText="1"/>
    </x:xf>
    <x:xf numFmtId="0" fontId="13" fillId="110" borderId="11" xfId="0" applyNumberFormat="1" applyFont="1" applyFill="1" applyBorder="1" applyAlignment="1">
      <x:alignment vertical="center" wrapText="1"/>
    </x:xf>
    <x:xf numFmtId="0" fontId="15" fillId="114" borderId="0" xfId="0" applyNumberFormat="1" applyFont="1" applyFill="1" applyBorder="1" applyAlignment="1">
      <x:alignment vertical="center" wrapText="1"/>
    </x:xf>
    <x:xf numFmtId="0" fontId="16" fillId="110" borderId="11" xfId="0" applyNumberFormat="1" applyFont="1" applyFill="1" applyBorder="1" applyAlignment="1">
      <x:alignment horizontal="center" vertical="center"/>
    </x:xf>
    <x:xf numFmtId="0" fontId="16" fillId="111" borderId="11" xfId="0" applyNumberFormat="1" applyFont="1" applyFill="1" applyBorder="1" applyAlignment="1">
      <x:alignment horizontal="center" vertical="center"/>
    </x:xf>
    <x:xf numFmtId="203" fontId="16" fillId="111" borderId="11" xfId="0" applyNumberFormat="1" applyFont="1" applyFill="1" applyBorder="1" applyAlignment="1">
      <x:alignment horizontal="center" vertical="center"/>
    </x:xf>
    <x:xf numFmtId="0" fontId="17" fillId="115" borderId="12" xfId="0" applyNumberFormat="1" applyFont="1" applyFill="1" applyBorder="1" applyAlignment="1">
      <x:alignment vertical="center" wrapText="1"/>
    </x:xf>
    <x:xf numFmtId="0" fontId="18" fillId="116" borderId="13" xfId="0" applyNumberFormat="1" applyFont="1" applyFill="1" applyBorder="1" applyAlignment="1">
      <x:alignment horizontal="center" vertical="center" wrapText="1"/>
    </x:xf>
    <x:xf numFmtId="0" fontId="11" fillId="117" borderId="14" xfId="0" applyNumberFormat="1" applyFont="1" applyFill="1" applyBorder="1" applyAlignment="1">
      <x:alignment vertical="top" wrapText="1"/>
    </x:xf>
    <x:xf numFmtId="202" fontId="11" fillId="117" borderId="14" xfId="0" applyNumberFormat="1" applyFont="1" applyFill="1" applyBorder="1" applyAlignment="1">
      <x:alignment vertical="top" wrapText="1"/>
    </x:xf>
    <x:xf numFmtId="0" fontId="11" fillId="117" borderId="14" xfId="0" applyNumberFormat="1" applyFont="1" applyFill="1" applyBorder="1" applyAlignment="1">
      <x:alignment horizontal="center" vertical="top" wrapText="1"/>
    </x:xf>
    <x:xf numFmtId="0" fontId="11" fillId="111" borderId="14" xfId="0" applyNumberFormat="1" applyFont="1" applyFill="1" applyBorder="1" applyAlignment="1">
      <x:alignment vertical="top" wrapText="1"/>
    </x:xf>
    <x:xf numFmtId="202" fontId="11" fillId="111" borderId="14" xfId="0" applyNumberFormat="1" applyFont="1" applyFill="1" applyBorder="1" applyAlignment="1">
      <x:alignment vertical="top" wrapText="1"/>
    </x:xf>
    <x:xf numFmtId="0" fontId="11" fillId="111" borderId="14" xfId="0" applyNumberFormat="1" applyFont="1" applyFill="1" applyBorder="1" applyAlignment="1">
      <x:alignment horizontal="center" vertical="top" wrapText="1"/>
    </x:xf>
    <x:xf numFmtId="0" fontId="11" fillId="117" borderId="0" xfId="0" applyNumberFormat="1" applyFont="1" applyFill="1" applyBorder="1" applyAlignment="1">
      <x:alignment vertical="top" wrapText="1"/>
    </x:xf>
    <x:xf numFmtId="0" fontId="11" fillId="117" borderId="0" xfId="0" applyNumberFormat="1" applyFont="1" applyFill="1" applyBorder="1" applyAlignment="1">
      <x:alignment horizontal="center" vertical="top" wrapText="1"/>
    </x:xf>
    <x:xf numFmtId="0" fontId="1" fillId="113" borderId="0" xfId="0" applyNumberFormat="1" applyFont="1" applyFill="1" applyBorder="1" applyAlignment="1">
      <x:alignment vertical="center"/>
    </x:xf>
    <x:xf numFmtId="0" fontId="13" fillId="110" borderId="0" xfId="0" applyNumberFormat="1" applyFont="1" applyFill="1" applyBorder="1" applyAlignment="1">
      <x:alignment vertical="center" wrapText="1"/>
    </x:xf>
    <x:xf numFmtId="0" fontId="3" fillId="109" borderId="0" xfId="0" applyNumberFormat="1" applyFont="1" applyFill="1" applyBorder="1" applyAlignment="1">
      <x:alignment horizontal="center" vertical="center" wrapText="1"/>
    </x:xf>
    <x:xf numFmtId="0" fontId="20" fillId="118" borderId="10" xfId="0" applyNumberFormat="1" applyFont="1" applyFill="1" applyBorder="1" applyAlignment="1">
      <x:alignment vertical="top" wrapText="1"/>
    </x:xf>
    <x:xf numFmtId="0" fontId="20" fillId="118" borderId="10" xfId="0" applyNumberFormat="1" applyFont="1" applyFill="1" applyBorder="1"/>
    <x:xf numFmtId="0" fontId="20" fillId="118" borderId="10" xfId="0" applyNumberFormat="1" applyFont="1" applyFill="1" applyBorder="1" applyAlignment="1">
      <x:alignment wrapText="1"/>
    </x:xf>
    <x:xf numFmtId="0" fontId="20" fillId="118" borderId="10" xfId="0" applyNumberFormat="1" applyFont="1" applyFill="1" applyBorder="1" applyAlignment="1">
      <x:alignment vertical="center" wrapText="1"/>
    </x:xf>
    <x:xf numFmtId="0" fontId="28" fillId="118" borderId="10" xfId="0" applyNumberFormat="1" applyFont="1" applyFill="1" applyBorder="1" applyAlignment="1">
      <x:alignment vertical="top" wrapText="1"/>
    </x:xf>
    <x:xf numFmtId="0" fontId="28" fillId="118" borderId="10" xfId="0" applyNumberFormat="1" applyFont="1" applyFill="1" applyBorder="1"/>
    <x:xf numFmtId="0" fontId="28" fillId="118" borderId="10" xfId="0" applyNumberFormat="1" applyFont="1" applyFill="1" applyBorder="1" applyAlignment="1">
      <x:alignment wrapText="1"/>
    </x:xf>
    <x:xf numFmtId="0" fontId="28" fillId="118" borderId="10" xfId="0" applyNumberFormat="1" applyFont="1" applyFill="1" applyBorder="1" applyAlignment="1">
      <x:alignment vertical="center" wrapText="1"/>
    </x:xf>
    <x:xf numFmtId="0" fontId="3" fillId="119" borderId="1" xfId="0" applyNumberFormat="1" applyFont="1" applyFill="1" applyBorder="1" applyAlignment="1">
      <x:alignment horizontal="center" vertical="center" wrapText="1"/>
    </x:xf>
    <x:xf numFmtId="0" fontId="10" fillId="120" borderId="15" xfId="0" applyNumberFormat="1" applyFont="1" applyFill="1" applyBorder="1" applyAlignment="1">
      <x:alignment horizontal="center" vertical="top" wrapText="1"/>
    </x:xf>
    <x:xf numFmtId="0" fontId="11" fillId="120" borderId="16" xfId="0" applyNumberFormat="1" applyFont="1" applyFill="1" applyBorder="1" applyAlignment="1">
      <x:alignment horizontal="center" vertical="top" wrapText="1"/>
    </x:xf>
    <x:xf numFmtId="201" fontId="11" fillId="120" borderId="16" xfId="0" applyNumberFormat="1" applyFont="1" applyFill="1" applyBorder="1" applyAlignment="1">
      <x:alignment horizontal="center" vertical="top" wrapText="1"/>
    </x:xf>
    <x:xf numFmtId="0" fontId="11" fillId="120" borderId="16" xfId="0" applyNumberFormat="1" applyFont="1" applyFill="1" applyBorder="1" applyAlignment="1">
      <x:alignment vertical="top" wrapText="1"/>
    </x:xf>
    <x:xf numFmtId="0" fontId="11" fillId="120" borderId="17" xfId="0" applyNumberFormat="1" applyFont="1" applyFill="1" applyBorder="1" applyAlignment="1">
      <x:alignment vertical="top" wrapText="1"/>
    </x:xf>
    <x:xf numFmtId="0" fontId="11" fillId="121" borderId="18" xfId="0" applyNumberFormat="1" applyFont="1" applyFill="1" applyBorder="1" applyAlignment="1">
      <x:alignment horizontal="center" vertical="top" wrapText="1"/>
    </x:xf>
    <x:xf numFmtId="0" fontId="11" fillId="121" borderId="19" xfId="0" applyNumberFormat="1" applyFont="1" applyFill="1" applyBorder="1" applyAlignment="1">
      <x:alignment horizontal="center" vertical="top" wrapText="1"/>
    </x:xf>
    <x:xf numFmtId="201" fontId="11" fillId="121" borderId="19" xfId="0" applyNumberFormat="1" applyFont="1" applyFill="1" applyBorder="1" applyAlignment="1">
      <x:alignment horizontal="center" vertical="top" wrapText="1"/>
    </x:xf>
    <x:xf numFmtId="0" fontId="11" fillId="121" borderId="19" xfId="0" applyNumberFormat="1" applyFont="1" applyFill="1" applyBorder="1" applyAlignment="1">
      <x:alignment vertical="top" wrapText="1"/>
    </x:xf>
    <x:xf numFmtId="0" fontId="11" fillId="121" borderId="20" xfId="0" applyNumberFormat="1" applyFont="1" applyFill="1" applyBorder="1" applyAlignment="1">
      <x:alignment vertical="top" wrapText="1"/>
    </x:xf>
    <x:xf numFmtId="0" fontId="10" fillId="120" borderId="18" xfId="0" applyNumberFormat="1" applyFont="1" applyFill="1" applyBorder="1" applyAlignment="1">
      <x:alignment horizontal="center" vertical="top" wrapText="1"/>
    </x:xf>
    <x:xf numFmtId="0" fontId="11" fillId="120" borderId="19" xfId="0" applyNumberFormat="1" applyFont="1" applyFill="1" applyBorder="1" applyAlignment="1">
      <x:alignment horizontal="center" vertical="top" wrapText="1"/>
    </x:xf>
    <x:xf numFmtId="201" fontId="11" fillId="120" borderId="19" xfId="0" applyNumberFormat="1" applyFont="1" applyFill="1" applyBorder="1" applyAlignment="1">
      <x:alignment horizontal="center" vertical="top" wrapText="1"/>
    </x:xf>
    <x:xf numFmtId="0" fontId="11" fillId="120" borderId="19" xfId="0" applyNumberFormat="1" applyFont="1" applyFill="1" applyBorder="1" applyAlignment="1">
      <x:alignment vertical="top" wrapText="1"/>
    </x:xf>
    <x:xf numFmtId="0" fontId="11" fillId="120" borderId="20" xfId="0" applyNumberFormat="1" applyFont="1" applyFill="1" applyBorder="1" applyAlignment="1">
      <x:alignment vertical="top" wrapText="1"/>
    </x:xf>
    <x:xf numFmtId="0" fontId="10" fillId="121" borderId="18" xfId="0" applyNumberFormat="1" applyFont="1" applyFill="1" applyBorder="1" applyAlignment="1">
      <x:alignment horizontal="center" vertical="top" wrapText="1"/>
    </x:xf>
    <x:xf numFmtId="0" fontId="11" fillId="120" borderId="18" xfId="0" applyNumberFormat="1" applyFont="1" applyFill="1" applyBorder="1" applyAlignment="1">
      <x:alignment horizontal="center" vertical="top" wrapText="1"/>
    </x:xf>
    <x:xf numFmtId="0" fontId="11" fillId="121" borderId="21" xfId="0" applyNumberFormat="1" applyFont="1" applyFill="1" applyBorder="1" applyAlignment="1">
      <x:alignment horizontal="center" vertical="top" wrapText="1"/>
    </x:xf>
    <x:xf numFmtId="0" fontId="11" fillId="121" borderId="22" xfId="0" applyNumberFormat="1" applyFont="1" applyFill="1" applyBorder="1" applyAlignment="1">
      <x:alignment horizontal="center" vertical="top" wrapText="1"/>
    </x:xf>
    <x:xf numFmtId="201" fontId="11" fillId="121" borderId="22" xfId="0" applyNumberFormat="1" applyFont="1" applyFill="1" applyBorder="1" applyAlignment="1">
      <x:alignment horizontal="center" vertical="top" wrapText="1"/>
    </x:xf>
    <x:xf numFmtId="0" fontId="11" fillId="121" borderId="22" xfId="0" applyNumberFormat="1" applyFont="1" applyFill="1" applyBorder="1" applyAlignment="1">
      <x:alignment vertical="top" wrapText="1"/>
    </x:xf>
    <x:xf numFmtId="0" fontId="11" fillId="121" borderId="23" xfId="0" applyNumberFormat="1" applyFont="1" applyFill="1" applyBorder="1" applyAlignment="1">
      <x:alignment vertical="top" wrapText="1"/>
    </x:xf>
    <x:xf numFmtId="0" fontId="11" fillId="120" borderId="0" xfId="0" applyNumberFormat="1" applyFont="1" applyFill="1" applyBorder="1" applyAlignment="1">
      <x:alignment horizontal="center" vertical="top" wrapText="1"/>
    </x:xf>
    <x:xf numFmtId="201" fontId="11" fillId="120" borderId="0" xfId="0" applyNumberFormat="1" applyFont="1" applyFill="1" applyBorder="1" applyAlignment="1">
      <x:alignment horizontal="center" vertical="top" wrapText="1"/>
    </x:xf>
    <x:xf numFmtId="0" fontId="11" fillId="120" borderId="0" xfId="0" applyNumberFormat="1" applyFont="1" applyFill="1" applyBorder="1" applyAlignment="1">
      <x:alignment vertical="top" wrapText="1"/>
    </x:xf>
    <x:xf numFmtId="0" fontId="11" fillId="121" borderId="0" xfId="0" applyNumberFormat="1" applyFont="1" applyFill="1" applyBorder="1" applyAlignment="1">
      <x:alignment horizontal="center" vertical="top" wrapText="1"/>
    </x:xf>
    <x:xf numFmtId="201" fontId="11" fillId="121" borderId="0" xfId="0" applyNumberFormat="1" applyFont="1" applyFill="1" applyBorder="1" applyAlignment="1">
      <x:alignment horizontal="center" vertical="top" wrapText="1"/>
    </x:xf>
    <x:xf numFmtId="0" fontId="11" fillId="121" borderId="0" xfId="0" applyNumberFormat="1" applyFont="1" applyFill="1" applyBorder="1" applyAlignment="1">
      <x:alignment vertical="top" wrapText="1"/>
    </x:xf>
    <x:xf numFmtId="0" fontId="11" fillId="120" borderId="15" xfId="0" applyNumberFormat="1" applyFont="1" applyFill="1" applyBorder="1" applyAlignment="1">
      <x:alignment horizontal="center" vertical="top" wrapText="1"/>
    </x:xf>
    <x:xf numFmtId="0" fontId="11" fillId="122" borderId="15" xfId="0" applyNumberFormat="1" applyFont="1" applyFill="1" applyBorder="1" applyAlignment="1">
      <x:alignment horizontal="center" vertical="top" wrapText="1"/>
    </x:xf>
    <x:xf numFmtId="0" fontId="11" fillId="122" borderId="16" xfId="0" applyNumberFormat="1" applyFont="1" applyFill="1" applyBorder="1" applyAlignment="1">
      <x:alignment horizontal="center" vertical="top" wrapText="1"/>
    </x:xf>
    <x:xf numFmtId="0" fontId="11" fillId="122" borderId="16" xfId="0" applyNumberFormat="1" applyFont="1" applyFill="1" applyBorder="1" applyAlignment="1">
      <x:alignment vertical="top" wrapText="1"/>
    </x:xf>
    <x:xf numFmtId="0" fontId="11" fillId="122" borderId="17" xfId="0" applyNumberFormat="1" applyFont="1" applyFill="1" applyBorder="1" applyAlignment="1">
      <x:alignment vertical="top" wrapText="1"/>
    </x:xf>
    <x:xf numFmtId="0" fontId="11" fillId="122" borderId="18" xfId="0" applyNumberFormat="1" applyFont="1" applyFill="1" applyBorder="1" applyAlignment="1">
      <x:alignment horizontal="center" vertical="top" wrapText="1"/>
    </x:xf>
    <x:xf numFmtId="0" fontId="11" fillId="122" borderId="19" xfId="0" applyNumberFormat="1" applyFont="1" applyFill="1" applyBorder="1" applyAlignment="1">
      <x:alignment horizontal="center" vertical="top" wrapText="1"/>
    </x:xf>
    <x:xf numFmtId="0" fontId="11" fillId="122" borderId="19" xfId="0" applyNumberFormat="1" applyFont="1" applyFill="1" applyBorder="1" applyAlignment="1">
      <x:alignment vertical="top" wrapText="1"/>
    </x:xf>
    <x:xf numFmtId="0" fontId="11" fillId="122" borderId="20" xfId="0" applyNumberFormat="1" applyFont="1" applyFill="1" applyBorder="1" applyAlignment="1">
      <x:alignment vertical="top" wrapText="1"/>
    </x:xf>
    <x:xf numFmtId="0" fontId="11" fillId="122" borderId="0" xfId="0" applyNumberFormat="1" applyFont="1" applyFill="1" applyBorder="1" applyAlignment="1">
      <x:alignment horizontal="center" vertical="top" wrapText="1"/>
    </x:xf>
    <x:xf numFmtId="0" fontId="11" fillId="122" borderId="0" xfId="0" applyNumberFormat="1" applyFont="1" applyFill="1" applyBorder="1" applyAlignment="1">
      <x:alignment vertical="top" wrapText="1"/>
    </x:xf>
    <x:xf numFmtId="200" fontId="11" fillId="120" borderId="16" xfId="0" applyNumberFormat="1" applyFont="1" applyFill="1" applyBorder="1" applyAlignment="1">
      <x:alignment horizontal="center" vertical="top" wrapText="1"/>
    </x:xf>
    <x:xf numFmtId="200" fontId="11" fillId="121" borderId="19" xfId="0" applyNumberFormat="1" applyFont="1" applyFill="1" applyBorder="1" applyAlignment="1">
      <x:alignment horizontal="center" vertical="top" wrapText="1"/>
    </x:xf>
    <x:xf numFmtId="200" fontId="11" fillId="120" borderId="19" xfId="0" applyNumberFormat="1" applyFont="1" applyFill="1" applyBorder="1" applyAlignment="1">
      <x:alignment horizontal="center" vertical="top" wrapText="1"/>
    </x:xf>
    <x:xf numFmtId="0" fontId="1" fillId="123" borderId="0" xfId="0" applyNumberFormat="1" applyFont="1" applyFill="1" applyBorder="1" applyAlignment="1">
      <x:alignment horizontal="left" vertical="center"/>
    </x:xf>
    <x:xf numFmtId="0" fontId="14" fillId="120" borderId="11" xfId="0" applyNumberFormat="1" applyFont="1" applyFill="1" applyBorder="1" applyAlignment="1">
      <x:alignment vertical="center" wrapText="1"/>
    </x:xf>
    <x:xf numFmtId="202" fontId="13" fillId="120" borderId="11" xfId="0" applyNumberFormat="1" applyFont="1" applyFill="1" applyBorder="1" applyAlignment="1">
      <x:alignment vertical="center" wrapText="1"/>
    </x:xf>
    <x:xf numFmtId="0" fontId="13" fillId="120" borderId="11" xfId="0" applyNumberFormat="1" applyFont="1" applyFill="1" applyBorder="1" applyAlignment="1">
      <x:alignment vertical="center" wrapText="1"/>
    </x:xf>
    <x:xf numFmtId="0" fontId="15" fillId="124" borderId="0" xfId="0" applyNumberFormat="1" applyFont="1" applyFill="1" applyBorder="1" applyAlignment="1">
      <x:alignment vertical="center" wrapText="1"/>
    </x:xf>
    <x:xf numFmtId="0" fontId="16" fillId="120" borderId="11" xfId="0" applyNumberFormat="1" applyFont="1" applyFill="1" applyBorder="1" applyAlignment="1">
      <x:alignment horizontal="center" vertical="center"/>
    </x:xf>
    <x:xf numFmtId="0" fontId="16" fillId="121" borderId="11" xfId="0" applyNumberFormat="1" applyFont="1" applyFill="1" applyBorder="1" applyAlignment="1">
      <x:alignment horizontal="center" vertical="center"/>
    </x:xf>
    <x:xf numFmtId="203" fontId="16" fillId="121" borderId="11" xfId="0" applyNumberFormat="1" applyFont="1" applyFill="1" applyBorder="1" applyAlignment="1">
      <x:alignment horizontal="center" vertical="center"/>
    </x:xf>
    <x:xf numFmtId="0" fontId="17" fillId="125" borderId="12" xfId="0" applyNumberFormat="1" applyFont="1" applyFill="1" applyBorder="1" applyAlignment="1">
      <x:alignment vertical="center" wrapText="1"/>
    </x:xf>
    <x:xf numFmtId="0" fontId="18" fillId="126" borderId="13" xfId="0" applyNumberFormat="1" applyFont="1" applyFill="1" applyBorder="1" applyAlignment="1">
      <x:alignment horizontal="center" vertical="center" wrapText="1"/>
    </x:xf>
    <x:xf numFmtId="0" fontId="11" fillId="127" borderId="14" xfId="0" applyNumberFormat="1" applyFont="1" applyFill="1" applyBorder="1" applyAlignment="1">
      <x:alignment vertical="top" wrapText="1"/>
    </x:xf>
    <x:xf numFmtId="202" fontId="11" fillId="127" borderId="14" xfId="0" applyNumberFormat="1" applyFont="1" applyFill="1" applyBorder="1" applyAlignment="1">
      <x:alignment vertical="top" wrapText="1"/>
    </x:xf>
    <x:xf numFmtId="0" fontId="11" fillId="127" borderId="14" xfId="0" applyNumberFormat="1" applyFont="1" applyFill="1" applyBorder="1" applyAlignment="1">
      <x:alignment horizontal="center" vertical="top" wrapText="1"/>
    </x:xf>
    <x:xf numFmtId="0" fontId="11" fillId="121" borderId="14" xfId="0" applyNumberFormat="1" applyFont="1" applyFill="1" applyBorder="1" applyAlignment="1">
      <x:alignment vertical="top" wrapText="1"/>
    </x:xf>
    <x:xf numFmtId="202" fontId="11" fillId="121" borderId="14" xfId="0" applyNumberFormat="1" applyFont="1" applyFill="1" applyBorder="1" applyAlignment="1">
      <x:alignment vertical="top" wrapText="1"/>
    </x:xf>
    <x:xf numFmtId="0" fontId="11" fillId="121" borderId="14" xfId="0" applyNumberFormat="1" applyFont="1" applyFill="1" applyBorder="1" applyAlignment="1">
      <x:alignment horizontal="center" vertical="top" wrapText="1"/>
    </x:xf>
    <x:xf numFmtId="0" fontId="11" fillId="127" borderId="0" xfId="0" applyNumberFormat="1" applyFont="1" applyFill="1" applyBorder="1" applyAlignment="1">
      <x:alignment vertical="top" wrapText="1"/>
    </x:xf>
    <x:xf numFmtId="0" fontId="11" fillId="127" borderId="0" xfId="0" applyNumberFormat="1" applyFont="1" applyFill="1" applyBorder="1" applyAlignment="1">
      <x:alignment horizontal="center" vertical="top" wrapText="1"/>
    </x:xf>
    <x:xf numFmtId="0" fontId="0" fillId="121" borderId="0" xfId="0" applyNumberFormat="1" applyFont="1" applyFill="1" applyBorder="1"/>
    <x:xf numFmtId="0" fontId="0" fillId="127" borderId="0" xfId="0" applyNumberFormat="1" applyFont="1" applyFill="1" applyBorder="1"/>
    <x:xf numFmtId="0" fontId="0" fillId="121" borderId="0" xfId="0" applyNumberFormat="1" applyFont="1" applyFill="1" applyBorder="1" applyAlignment="1">
      <x:alignment wrapText="1"/>
    </x:xf>
    <x:xf numFmtId="0" fontId="0" fillId="127" borderId="0" xfId="0" applyNumberFormat="1" applyFont="1" applyFill="1" applyBorder="1" applyAlignment="1">
      <x:alignment wrapText="1"/>
    </x:xf>
    <x:xf numFmtId="0" fontId="0" fillId="121" borderId="0" xfId="0" applyNumberFormat="1" applyFont="1" applyFill="1" applyBorder="1" applyAlignment="1">
      <x:alignment vertical="top" wrapText="1"/>
    </x:xf>
    <x:xf numFmtId="0" fontId="0" fillId="127" borderId="0" xfId="0" applyNumberFormat="1" applyFont="1" applyFill="1" applyBorder="1" applyAlignment="1">
      <x:alignment vertical="top" wrapText="1"/>
    </x:xf>
    <x:xf numFmtId="0" fontId="1" fillId="123" borderId="0" xfId="0" applyNumberFormat="1" applyFont="1" applyFill="1" applyBorder="1" applyAlignment="1">
      <x:alignment vertical="center"/>
    </x:xf>
    <x:xf numFmtId="0" fontId="13" fillId="120" borderId="0" xfId="0" applyNumberFormat="1" applyFont="1" applyFill="1" applyBorder="1" applyAlignment="1">
      <x:alignment vertical="center" wrapText="1"/>
    </x:xf>
    <x:xf numFmtId="0" fontId="3" fillId="119" borderId="0" xfId="0" applyNumberFormat="1" applyFont="1" applyFill="1" applyBorder="1" applyAlignment="1">
      <x:alignment horizontal="center" vertical="center" wrapText="1"/>
    </x:xf>
    <x:xf numFmtId="0" fontId="20" fillId="128" borderId="10" xfId="0" applyNumberFormat="1" applyFont="1" applyFill="1" applyBorder="1" applyAlignment="1">
      <x:alignment vertical="top" wrapText="1"/>
    </x:xf>
    <x:xf numFmtId="0" fontId="20" fillId="128" borderId="10" xfId="0" applyNumberFormat="1" applyFont="1" applyFill="1" applyBorder="1"/>
    <x:xf numFmtId="0" fontId="20" fillId="128" borderId="10" xfId="0" applyNumberFormat="1" applyFont="1" applyFill="1" applyBorder="1" applyAlignment="1">
      <x:alignment wrapText="1"/>
    </x:xf>
    <x:xf numFmtId="0" fontId="20" fillId="128" borderId="10" xfId="0" applyNumberFormat="1" applyFont="1" applyFill="1" applyBorder="1" applyAlignment="1">
      <x:alignment vertical="center" wrapText="1"/>
    </x:xf>
    <x:xf numFmtId="0" fontId="29" fillId="128" borderId="10" xfId="0" applyNumberFormat="1" applyFont="1" applyFill="1" applyBorder="1" applyAlignment="1">
      <x:alignment vertical="top" wrapText="1"/>
    </x:xf>
    <x:xf numFmtId="0" fontId="29" fillId="128" borderId="10" xfId="0" applyNumberFormat="1" applyFont="1" applyFill="1" applyBorder="1"/>
    <x:xf numFmtId="0" fontId="29" fillId="128" borderId="10" xfId="0" applyNumberFormat="1" applyFont="1" applyFill="1" applyBorder="1" applyAlignment="1">
      <x:alignment wrapText="1"/>
    </x:xf>
    <x:xf numFmtId="0" fontId="29" fillId="128" borderId="10" xfId="0" applyNumberFormat="1" applyFont="1" applyFill="1" applyBorder="1" applyAlignment="1">
      <x:alignment vertical="center" wrapText="1"/>
    </x:xf>
    <x:xf numFmtId="0" fontId="3" fillId="129" borderId="1" xfId="0" applyNumberFormat="1" applyFont="1" applyFill="1" applyBorder="1" applyAlignment="1">
      <x:alignment horizontal="center" vertical="center" wrapText="1"/>
    </x:xf>
    <x:xf numFmtId="0" fontId="10" fillId="130" borderId="15" xfId="0" applyNumberFormat="1" applyFont="1" applyFill="1" applyBorder="1" applyAlignment="1">
      <x:alignment horizontal="center" vertical="top" wrapText="1"/>
    </x:xf>
    <x:xf numFmtId="0" fontId="11" fillId="130" borderId="16" xfId="0" applyNumberFormat="1" applyFont="1" applyFill="1" applyBorder="1" applyAlignment="1">
      <x:alignment horizontal="center" vertical="top" wrapText="1"/>
    </x:xf>
    <x:xf numFmtId="201" fontId="11" fillId="130" borderId="16" xfId="0" applyNumberFormat="1" applyFont="1" applyFill="1" applyBorder="1" applyAlignment="1">
      <x:alignment horizontal="center" vertical="top" wrapText="1"/>
    </x:xf>
    <x:xf numFmtId="0" fontId="11" fillId="130" borderId="16" xfId="0" applyNumberFormat="1" applyFont="1" applyFill="1" applyBorder="1" applyAlignment="1">
      <x:alignment vertical="top" wrapText="1"/>
    </x:xf>
    <x:xf numFmtId="0" fontId="11" fillId="130" borderId="17" xfId="0" applyNumberFormat="1" applyFont="1" applyFill="1" applyBorder="1" applyAlignment="1">
      <x:alignment vertical="top" wrapText="1"/>
    </x:xf>
    <x:xf numFmtId="0" fontId="11" fillId="131" borderId="18" xfId="0" applyNumberFormat="1" applyFont="1" applyFill="1" applyBorder="1" applyAlignment="1">
      <x:alignment horizontal="center" vertical="top" wrapText="1"/>
    </x:xf>
    <x:xf numFmtId="0" fontId="11" fillId="131" borderId="19" xfId="0" applyNumberFormat="1" applyFont="1" applyFill="1" applyBorder="1" applyAlignment="1">
      <x:alignment horizontal="center" vertical="top" wrapText="1"/>
    </x:xf>
    <x:xf numFmtId="201" fontId="11" fillId="131" borderId="19" xfId="0" applyNumberFormat="1" applyFont="1" applyFill="1" applyBorder="1" applyAlignment="1">
      <x:alignment horizontal="center" vertical="top" wrapText="1"/>
    </x:xf>
    <x:xf numFmtId="0" fontId="11" fillId="131" borderId="19" xfId="0" applyNumberFormat="1" applyFont="1" applyFill="1" applyBorder="1" applyAlignment="1">
      <x:alignment vertical="top" wrapText="1"/>
    </x:xf>
    <x:xf numFmtId="0" fontId="11" fillId="131" borderId="20" xfId="0" applyNumberFormat="1" applyFont="1" applyFill="1" applyBorder="1" applyAlignment="1">
      <x:alignment vertical="top" wrapText="1"/>
    </x:xf>
    <x:xf numFmtId="0" fontId="10" fillId="130" borderId="18" xfId="0" applyNumberFormat="1" applyFont="1" applyFill="1" applyBorder="1" applyAlignment="1">
      <x:alignment horizontal="center" vertical="top" wrapText="1"/>
    </x:xf>
    <x:xf numFmtId="0" fontId="11" fillId="130" borderId="19" xfId="0" applyNumberFormat="1" applyFont="1" applyFill="1" applyBorder="1" applyAlignment="1">
      <x:alignment horizontal="center" vertical="top" wrapText="1"/>
    </x:xf>
    <x:xf numFmtId="201" fontId="11" fillId="130" borderId="19" xfId="0" applyNumberFormat="1" applyFont="1" applyFill="1" applyBorder="1" applyAlignment="1">
      <x:alignment horizontal="center" vertical="top" wrapText="1"/>
    </x:xf>
    <x:xf numFmtId="0" fontId="11" fillId="130" borderId="19" xfId="0" applyNumberFormat="1" applyFont="1" applyFill="1" applyBorder="1" applyAlignment="1">
      <x:alignment vertical="top" wrapText="1"/>
    </x:xf>
    <x:xf numFmtId="0" fontId="11" fillId="130" borderId="20" xfId="0" applyNumberFormat="1" applyFont="1" applyFill="1" applyBorder="1" applyAlignment="1">
      <x:alignment vertical="top" wrapText="1"/>
    </x:xf>
    <x:xf numFmtId="0" fontId="10" fillId="131" borderId="18" xfId="0" applyNumberFormat="1" applyFont="1" applyFill="1" applyBorder="1" applyAlignment="1">
      <x:alignment horizontal="center" vertical="top" wrapText="1"/>
    </x:xf>
    <x:xf numFmtId="0" fontId="11" fillId="130" borderId="18" xfId="0" applyNumberFormat="1" applyFont="1" applyFill="1" applyBorder="1" applyAlignment="1">
      <x:alignment horizontal="center" vertical="top" wrapText="1"/>
    </x:xf>
    <x:xf numFmtId="0" fontId="11" fillId="131" borderId="21" xfId="0" applyNumberFormat="1" applyFont="1" applyFill="1" applyBorder="1" applyAlignment="1">
      <x:alignment horizontal="center" vertical="top" wrapText="1"/>
    </x:xf>
    <x:xf numFmtId="0" fontId="11" fillId="131" borderId="22" xfId="0" applyNumberFormat="1" applyFont="1" applyFill="1" applyBorder="1" applyAlignment="1">
      <x:alignment horizontal="center" vertical="top" wrapText="1"/>
    </x:xf>
    <x:xf numFmtId="201" fontId="11" fillId="131" borderId="22" xfId="0" applyNumberFormat="1" applyFont="1" applyFill="1" applyBorder="1" applyAlignment="1">
      <x:alignment horizontal="center" vertical="top" wrapText="1"/>
    </x:xf>
    <x:xf numFmtId="0" fontId="11" fillId="131" borderId="22" xfId="0" applyNumberFormat="1" applyFont="1" applyFill="1" applyBorder="1" applyAlignment="1">
      <x:alignment vertical="top" wrapText="1"/>
    </x:xf>
    <x:xf numFmtId="0" fontId="11" fillId="131" borderId="23" xfId="0" applyNumberFormat="1" applyFont="1" applyFill="1" applyBorder="1" applyAlignment="1">
      <x:alignment vertical="top" wrapText="1"/>
    </x:xf>
    <x:xf numFmtId="0" fontId="11" fillId="130" borderId="0" xfId="0" applyNumberFormat="1" applyFont="1" applyFill="1" applyBorder="1" applyAlignment="1">
      <x:alignment horizontal="center" vertical="top" wrapText="1"/>
    </x:xf>
    <x:xf numFmtId="201" fontId="11" fillId="130" borderId="0" xfId="0" applyNumberFormat="1" applyFont="1" applyFill="1" applyBorder="1" applyAlignment="1">
      <x:alignment horizontal="center" vertical="top" wrapText="1"/>
    </x:xf>
    <x:xf numFmtId="0" fontId="11" fillId="130" borderId="0" xfId="0" applyNumberFormat="1" applyFont="1" applyFill="1" applyBorder="1" applyAlignment="1">
      <x:alignment vertical="top" wrapText="1"/>
    </x:xf>
    <x:xf numFmtId="0" fontId="11" fillId="130" borderId="15" xfId="0" applyNumberFormat="1" applyFont="1" applyFill="1" applyBorder="1" applyAlignment="1">
      <x:alignment horizontal="center" vertical="top" wrapText="1"/>
    </x:xf>
    <x:xf numFmtId="0" fontId="11" fillId="132" borderId="15" xfId="0" applyNumberFormat="1" applyFont="1" applyFill="1" applyBorder="1" applyAlignment="1">
      <x:alignment horizontal="center" vertical="top" wrapText="1"/>
    </x:xf>
    <x:xf numFmtId="0" fontId="11" fillId="132" borderId="16" xfId="0" applyNumberFormat="1" applyFont="1" applyFill="1" applyBorder="1" applyAlignment="1">
      <x:alignment horizontal="center" vertical="top" wrapText="1"/>
    </x:xf>
    <x:xf numFmtId="0" fontId="11" fillId="132" borderId="16" xfId="0" applyNumberFormat="1" applyFont="1" applyFill="1" applyBorder="1" applyAlignment="1">
      <x:alignment vertical="top" wrapText="1"/>
    </x:xf>
    <x:xf numFmtId="0" fontId="11" fillId="132" borderId="17" xfId="0" applyNumberFormat="1" applyFont="1" applyFill="1" applyBorder="1" applyAlignment="1">
      <x:alignment vertical="top" wrapText="1"/>
    </x:xf>
    <x:xf numFmtId="0" fontId="11" fillId="132" borderId="18" xfId="0" applyNumberFormat="1" applyFont="1" applyFill="1" applyBorder="1" applyAlignment="1">
      <x:alignment horizontal="center" vertical="top" wrapText="1"/>
    </x:xf>
    <x:xf numFmtId="0" fontId="11" fillId="132" borderId="19" xfId="0" applyNumberFormat="1" applyFont="1" applyFill="1" applyBorder="1" applyAlignment="1">
      <x:alignment horizontal="center" vertical="top" wrapText="1"/>
    </x:xf>
    <x:xf numFmtId="0" fontId="11" fillId="132" borderId="19" xfId="0" applyNumberFormat="1" applyFont="1" applyFill="1" applyBorder="1" applyAlignment="1">
      <x:alignment vertical="top" wrapText="1"/>
    </x:xf>
    <x:xf numFmtId="0" fontId="11" fillId="132" borderId="20" xfId="0" applyNumberFormat="1" applyFont="1" applyFill="1" applyBorder="1" applyAlignment="1">
      <x:alignment vertical="top" wrapText="1"/>
    </x:xf>
    <x:xf numFmtId="0" fontId="11" fillId="132" borderId="0" xfId="0" applyNumberFormat="1" applyFont="1" applyFill="1" applyBorder="1" applyAlignment="1">
      <x:alignment horizontal="center" vertical="top" wrapText="1"/>
    </x:xf>
    <x:xf numFmtId="0" fontId="11" fillId="132" borderId="0" xfId="0" applyNumberFormat="1" applyFont="1" applyFill="1" applyBorder="1" applyAlignment="1">
      <x:alignment vertical="top" wrapText="1"/>
    </x:xf>
    <x:xf numFmtId="200" fontId="11" fillId="130" borderId="16" xfId="0" applyNumberFormat="1" applyFont="1" applyFill="1" applyBorder="1" applyAlignment="1">
      <x:alignment horizontal="center" vertical="top" wrapText="1"/>
    </x:xf>
    <x:xf numFmtId="200" fontId="11" fillId="131" borderId="19" xfId="0" applyNumberFormat="1" applyFont="1" applyFill="1" applyBorder="1" applyAlignment="1">
      <x:alignment horizontal="center" vertical="top" wrapText="1"/>
    </x:xf>
    <x:xf numFmtId="200" fontId="11" fillId="130" borderId="19" xfId="0" applyNumberFormat="1" applyFont="1" applyFill="1" applyBorder="1" applyAlignment="1">
      <x:alignment horizontal="center" vertical="top" wrapText="1"/>
    </x:xf>
    <x:xf numFmtId="0" fontId="1" fillId="133" borderId="0" xfId="0" applyNumberFormat="1" applyFont="1" applyFill="1" applyBorder="1" applyAlignment="1">
      <x:alignment horizontal="left" vertical="center"/>
    </x:xf>
    <x:xf numFmtId="0" fontId="14" fillId="130" borderId="11" xfId="0" applyNumberFormat="1" applyFont="1" applyFill="1" applyBorder="1" applyAlignment="1">
      <x:alignment vertical="center" wrapText="1"/>
    </x:xf>
    <x:xf numFmtId="202" fontId="13" fillId="130" borderId="11" xfId="0" applyNumberFormat="1" applyFont="1" applyFill="1" applyBorder="1" applyAlignment="1">
      <x:alignment vertical="center" wrapText="1"/>
    </x:xf>
    <x:xf numFmtId="0" fontId="13" fillId="130" borderId="11" xfId="0" applyNumberFormat="1" applyFont="1" applyFill="1" applyBorder="1" applyAlignment="1">
      <x:alignment vertical="center" wrapText="1"/>
    </x:xf>
    <x:xf numFmtId="0" fontId="15" fillId="134" borderId="0" xfId="0" applyNumberFormat="1" applyFont="1" applyFill="1" applyBorder="1" applyAlignment="1">
      <x:alignment vertical="center" wrapText="1"/>
    </x:xf>
    <x:xf numFmtId="0" fontId="16" fillId="130" borderId="11" xfId="0" applyNumberFormat="1" applyFont="1" applyFill="1" applyBorder="1" applyAlignment="1">
      <x:alignment horizontal="center" vertical="center"/>
    </x:xf>
    <x:xf numFmtId="0" fontId="16" fillId="131" borderId="11" xfId="0" applyNumberFormat="1" applyFont="1" applyFill="1" applyBorder="1" applyAlignment="1">
      <x:alignment horizontal="center" vertical="center"/>
    </x:xf>
    <x:xf numFmtId="203" fontId="16" fillId="131" borderId="11" xfId="0" applyNumberFormat="1" applyFont="1" applyFill="1" applyBorder="1" applyAlignment="1">
      <x:alignment horizontal="center" vertical="center"/>
    </x:xf>
    <x:xf numFmtId="0" fontId="17" fillId="135" borderId="12" xfId="0" applyNumberFormat="1" applyFont="1" applyFill="1" applyBorder="1" applyAlignment="1">
      <x:alignment vertical="center" wrapText="1"/>
    </x:xf>
    <x:xf numFmtId="0" fontId="18" fillId="136" borderId="13" xfId="0" applyNumberFormat="1" applyFont="1" applyFill="1" applyBorder="1" applyAlignment="1">
      <x:alignment horizontal="center" vertical="center" wrapText="1"/>
    </x:xf>
    <x:xf numFmtId="0" fontId="11" fillId="137" borderId="14" xfId="0" applyNumberFormat="1" applyFont="1" applyFill="1" applyBorder="1" applyAlignment="1">
      <x:alignment vertical="top" wrapText="1"/>
    </x:xf>
    <x:xf numFmtId="202" fontId="11" fillId="137" borderId="14" xfId="0" applyNumberFormat="1" applyFont="1" applyFill="1" applyBorder="1" applyAlignment="1">
      <x:alignment vertical="top" wrapText="1"/>
    </x:xf>
    <x:xf numFmtId="0" fontId="11" fillId="137" borderId="14" xfId="0" applyNumberFormat="1" applyFont="1" applyFill="1" applyBorder="1" applyAlignment="1">
      <x:alignment horizontal="center" vertical="top" wrapText="1"/>
    </x:xf>
    <x:xf numFmtId="0" fontId="11" fillId="131" borderId="14" xfId="0" applyNumberFormat="1" applyFont="1" applyFill="1" applyBorder="1" applyAlignment="1">
      <x:alignment vertical="top" wrapText="1"/>
    </x:xf>
    <x:xf numFmtId="202" fontId="11" fillId="131" borderId="14" xfId="0" applyNumberFormat="1" applyFont="1" applyFill="1" applyBorder="1" applyAlignment="1">
      <x:alignment vertical="top" wrapText="1"/>
    </x:xf>
    <x:xf numFmtId="0" fontId="11" fillId="131" borderId="14" xfId="0" applyNumberFormat="1" applyFont="1" applyFill="1" applyBorder="1" applyAlignment="1">
      <x:alignment horizontal="center" vertical="top" wrapText="1"/>
    </x:xf>
    <x:xf numFmtId="0" fontId="11" fillId="131" borderId="0" xfId="0" applyNumberFormat="1" applyFont="1" applyFill="1" applyBorder="1" applyAlignment="1">
      <x:alignment vertical="top" wrapText="1"/>
    </x:xf>
    <x:xf numFmtId="0" fontId="11" fillId="131" borderId="0" xfId="0" applyNumberFormat="1" applyFont="1" applyFill="1" applyBorder="1" applyAlignment="1">
      <x:alignment horizontal="center" vertical="top" wrapText="1"/>
    </x:xf>
    <x:xf numFmtId="0" fontId="11" fillId="137" borderId="0" xfId="0" applyNumberFormat="1" applyFont="1" applyFill="1" applyBorder="1" applyAlignment="1">
      <x:alignment vertical="top" wrapText="1"/>
    </x:xf>
    <x:xf numFmtId="0" fontId="11" fillId="137" borderId="0" xfId="0" applyNumberFormat="1" applyFont="1" applyFill="1" applyBorder="1" applyAlignment="1">
      <x:alignment horizontal="center" vertical="top" wrapText="1"/>
    </x:xf>
    <x:xf numFmtId="0" fontId="1" fillId="133" borderId="0" xfId="0" applyNumberFormat="1" applyFont="1" applyFill="1" applyBorder="1" applyAlignment="1">
      <x:alignment vertical="center"/>
    </x:xf>
    <x:xf numFmtId="0" fontId="13" fillId="130" borderId="0" xfId="0" applyNumberFormat="1" applyFont="1" applyFill="1" applyBorder="1" applyAlignment="1">
      <x:alignment vertical="center" wrapText="1"/>
    </x:xf>
    <x:xf numFmtId="0" fontId="3" fillId="129" borderId="0" xfId="0" applyNumberFormat="1" applyFont="1" applyFill="1" applyBorder="1" applyAlignment="1">
      <x:alignment horizontal="center" vertical="center" wrapText="1"/>
    </x:xf>
    <x:xf numFmtId="0" fontId="20" fillId="138" borderId="10" xfId="0" applyNumberFormat="1" applyFont="1" applyFill="1" applyBorder="1" applyAlignment="1">
      <x:alignment vertical="top" wrapText="1"/>
    </x:xf>
    <x:xf numFmtId="0" fontId="20" fillId="138" borderId="10" xfId="0" applyNumberFormat="1" applyFont="1" applyFill="1" applyBorder="1"/>
    <x:xf numFmtId="0" fontId="20" fillId="138" borderId="10" xfId="0" applyNumberFormat="1" applyFont="1" applyFill="1" applyBorder="1" applyAlignment="1">
      <x:alignment wrapText="1"/>
    </x:xf>
    <x:xf numFmtId="0" fontId="20" fillId="138" borderId="10" xfId="0" applyNumberFormat="1" applyFont="1" applyFill="1" applyBorder="1" applyAlignment="1">
      <x:alignment vertical="center" wrapText="1"/>
    </x:xf>
    <x:xf numFmtId="0" fontId="30" fillId="138" borderId="10" xfId="0" applyNumberFormat="1" applyFont="1" applyFill="1" applyBorder="1" applyAlignment="1">
      <x:alignment vertical="top" wrapText="1"/>
    </x:xf>
    <x:xf numFmtId="0" fontId="30" fillId="138" borderId="10" xfId="0" applyNumberFormat="1" applyFont="1" applyFill="1" applyBorder="1"/>
    <x:xf numFmtId="0" fontId="30" fillId="138" borderId="10" xfId="0" applyNumberFormat="1" applyFont="1" applyFill="1" applyBorder="1" applyAlignment="1">
      <x:alignment wrapText="1"/>
    </x:xf>
    <x:xf numFmtId="0" fontId="30" fillId="138" borderId="10" xfId="0" applyNumberFormat="1" applyFont="1" applyFill="1" applyBorder="1" applyAlignment="1">
      <x:alignment vertical="center" wrapText="1"/>
    </x:xf>
    <x:xf numFmtId="0" fontId="3" fillId="139" borderId="1" xfId="0" applyNumberFormat="1" applyFont="1" applyFill="1" applyBorder="1" applyAlignment="1">
      <x:alignment horizontal="center" vertical="center" wrapText="1"/>
    </x:xf>
    <x:xf numFmtId="0" fontId="10" fillId="140" borderId="15" xfId="0" applyNumberFormat="1" applyFont="1" applyFill="1" applyBorder="1" applyAlignment="1">
      <x:alignment horizontal="center" vertical="top" wrapText="1"/>
    </x:xf>
    <x:xf numFmtId="0" fontId="11" fillId="140" borderId="16" xfId="0" applyNumberFormat="1" applyFont="1" applyFill="1" applyBorder="1" applyAlignment="1">
      <x:alignment horizontal="center" vertical="top" wrapText="1"/>
    </x:xf>
    <x:xf numFmtId="201" fontId="11" fillId="140" borderId="16" xfId="0" applyNumberFormat="1" applyFont="1" applyFill="1" applyBorder="1" applyAlignment="1">
      <x:alignment horizontal="center" vertical="top" wrapText="1"/>
    </x:xf>
    <x:xf numFmtId="0" fontId="11" fillId="140" borderId="16" xfId="0" applyNumberFormat="1" applyFont="1" applyFill="1" applyBorder="1" applyAlignment="1">
      <x:alignment vertical="top" wrapText="1"/>
    </x:xf>
    <x:xf numFmtId="0" fontId="11" fillId="140" borderId="17" xfId="0" applyNumberFormat="1" applyFont="1" applyFill="1" applyBorder="1" applyAlignment="1">
      <x:alignment vertical="top" wrapText="1"/>
    </x:xf>
    <x:xf numFmtId="0" fontId="11" fillId="141" borderId="18" xfId="0" applyNumberFormat="1" applyFont="1" applyFill="1" applyBorder="1" applyAlignment="1">
      <x:alignment horizontal="center" vertical="top" wrapText="1"/>
    </x:xf>
    <x:xf numFmtId="0" fontId="11" fillId="141" borderId="19" xfId="0" applyNumberFormat="1" applyFont="1" applyFill="1" applyBorder="1" applyAlignment="1">
      <x:alignment horizontal="center" vertical="top" wrapText="1"/>
    </x:xf>
    <x:xf numFmtId="201" fontId="11" fillId="141" borderId="19" xfId="0" applyNumberFormat="1" applyFont="1" applyFill="1" applyBorder="1" applyAlignment="1">
      <x:alignment horizontal="center" vertical="top" wrapText="1"/>
    </x:xf>
    <x:xf numFmtId="0" fontId="11" fillId="141" borderId="19" xfId="0" applyNumberFormat="1" applyFont="1" applyFill="1" applyBorder="1" applyAlignment="1">
      <x:alignment vertical="top" wrapText="1"/>
    </x:xf>
    <x:xf numFmtId="0" fontId="11" fillId="141" borderId="20" xfId="0" applyNumberFormat="1" applyFont="1" applyFill="1" applyBorder="1" applyAlignment="1">
      <x:alignment vertical="top" wrapText="1"/>
    </x:xf>
    <x:xf numFmtId="0" fontId="10" fillId="140" borderId="18" xfId="0" applyNumberFormat="1" applyFont="1" applyFill="1" applyBorder="1" applyAlignment="1">
      <x:alignment horizontal="center" vertical="top" wrapText="1"/>
    </x:xf>
    <x:xf numFmtId="0" fontId="11" fillId="140" borderId="19" xfId="0" applyNumberFormat="1" applyFont="1" applyFill="1" applyBorder="1" applyAlignment="1">
      <x:alignment horizontal="center" vertical="top" wrapText="1"/>
    </x:xf>
    <x:xf numFmtId="201" fontId="11" fillId="140" borderId="19" xfId="0" applyNumberFormat="1" applyFont="1" applyFill="1" applyBorder="1" applyAlignment="1">
      <x:alignment horizontal="center" vertical="top" wrapText="1"/>
    </x:xf>
    <x:xf numFmtId="0" fontId="11" fillId="140" borderId="19" xfId="0" applyNumberFormat="1" applyFont="1" applyFill="1" applyBorder="1" applyAlignment="1">
      <x:alignment vertical="top" wrapText="1"/>
    </x:xf>
    <x:xf numFmtId="0" fontId="11" fillId="140" borderId="20" xfId="0" applyNumberFormat="1" applyFont="1" applyFill="1" applyBorder="1" applyAlignment="1">
      <x:alignment vertical="top" wrapText="1"/>
    </x:xf>
    <x:xf numFmtId="0" fontId="10" fillId="141" borderId="18" xfId="0" applyNumberFormat="1" applyFont="1" applyFill="1" applyBorder="1" applyAlignment="1">
      <x:alignment horizontal="center" vertical="top" wrapText="1"/>
    </x:xf>
    <x:xf numFmtId="0" fontId="11" fillId="140" borderId="18" xfId="0" applyNumberFormat="1" applyFont="1" applyFill="1" applyBorder="1" applyAlignment="1">
      <x:alignment horizontal="center" vertical="top" wrapText="1"/>
    </x:xf>
    <x:xf numFmtId="0" fontId="11" fillId="141" borderId="21" xfId="0" applyNumberFormat="1" applyFont="1" applyFill="1" applyBorder="1" applyAlignment="1">
      <x:alignment horizontal="center" vertical="top" wrapText="1"/>
    </x:xf>
    <x:xf numFmtId="0" fontId="11" fillId="141" borderId="22" xfId="0" applyNumberFormat="1" applyFont="1" applyFill="1" applyBorder="1" applyAlignment="1">
      <x:alignment horizontal="center" vertical="top" wrapText="1"/>
    </x:xf>
    <x:xf numFmtId="201" fontId="11" fillId="141" borderId="22" xfId="0" applyNumberFormat="1" applyFont="1" applyFill="1" applyBorder="1" applyAlignment="1">
      <x:alignment horizontal="center" vertical="top" wrapText="1"/>
    </x:xf>
    <x:xf numFmtId="0" fontId="11" fillId="141" borderId="22" xfId="0" applyNumberFormat="1" applyFont="1" applyFill="1" applyBorder="1" applyAlignment="1">
      <x:alignment vertical="top" wrapText="1"/>
    </x:xf>
    <x:xf numFmtId="0" fontId="11" fillId="141" borderId="23" xfId="0" applyNumberFormat="1" applyFont="1" applyFill="1" applyBorder="1" applyAlignment="1">
      <x:alignment vertical="top" wrapText="1"/>
    </x:xf>
    <x:xf numFmtId="0" fontId="11" fillId="140" borderId="0" xfId="0" applyNumberFormat="1" applyFont="1" applyFill="1" applyBorder="1" applyAlignment="1">
      <x:alignment horizontal="center" vertical="top" wrapText="1"/>
    </x:xf>
    <x:xf numFmtId="201" fontId="11" fillId="140" borderId="0" xfId="0" applyNumberFormat="1" applyFont="1" applyFill="1" applyBorder="1" applyAlignment="1">
      <x:alignment horizontal="center" vertical="top" wrapText="1"/>
    </x:xf>
    <x:xf numFmtId="0" fontId="11" fillId="140" borderId="0" xfId="0" applyNumberFormat="1" applyFont="1" applyFill="1" applyBorder="1" applyAlignment="1">
      <x:alignment vertical="top" wrapText="1"/>
    </x:xf>
    <x:xf numFmtId="0" fontId="11" fillId="140" borderId="15" xfId="0" applyNumberFormat="1" applyFont="1" applyFill="1" applyBorder="1" applyAlignment="1">
      <x:alignment horizontal="center" vertical="top" wrapText="1"/>
    </x:xf>
    <x:xf numFmtId="0" fontId="11" fillId="142" borderId="15" xfId="0" applyNumberFormat="1" applyFont="1" applyFill="1" applyBorder="1" applyAlignment="1">
      <x:alignment horizontal="center" vertical="top" wrapText="1"/>
    </x:xf>
    <x:xf numFmtId="0" fontId="11" fillId="142" borderId="16" xfId="0" applyNumberFormat="1" applyFont="1" applyFill="1" applyBorder="1" applyAlignment="1">
      <x:alignment horizontal="center" vertical="top" wrapText="1"/>
    </x:xf>
    <x:xf numFmtId="0" fontId="11" fillId="142" borderId="16" xfId="0" applyNumberFormat="1" applyFont="1" applyFill="1" applyBorder="1" applyAlignment="1">
      <x:alignment vertical="top" wrapText="1"/>
    </x:xf>
    <x:xf numFmtId="0" fontId="11" fillId="142" borderId="17" xfId="0" applyNumberFormat="1" applyFont="1" applyFill="1" applyBorder="1" applyAlignment="1">
      <x:alignment vertical="top" wrapText="1"/>
    </x:xf>
    <x:xf numFmtId="0" fontId="11" fillId="142" borderId="18" xfId="0" applyNumberFormat="1" applyFont="1" applyFill="1" applyBorder="1" applyAlignment="1">
      <x:alignment horizontal="center" vertical="top" wrapText="1"/>
    </x:xf>
    <x:xf numFmtId="0" fontId="11" fillId="142" borderId="19" xfId="0" applyNumberFormat="1" applyFont="1" applyFill="1" applyBorder="1" applyAlignment="1">
      <x:alignment horizontal="center" vertical="top" wrapText="1"/>
    </x:xf>
    <x:xf numFmtId="0" fontId="11" fillId="142" borderId="19" xfId="0" applyNumberFormat="1" applyFont="1" applyFill="1" applyBorder="1" applyAlignment="1">
      <x:alignment vertical="top" wrapText="1"/>
    </x:xf>
    <x:xf numFmtId="0" fontId="11" fillId="142" borderId="20" xfId="0" applyNumberFormat="1" applyFont="1" applyFill="1" applyBorder="1" applyAlignment="1">
      <x:alignment vertical="top" wrapText="1"/>
    </x:xf>
    <x:xf numFmtId="0" fontId="11" fillId="142" borderId="0" xfId="0" applyNumberFormat="1" applyFont="1" applyFill="1" applyBorder="1" applyAlignment="1">
      <x:alignment horizontal="center" vertical="top" wrapText="1"/>
    </x:xf>
    <x:xf numFmtId="0" fontId="11" fillId="142" borderId="0" xfId="0" applyNumberFormat="1" applyFont="1" applyFill="1" applyBorder="1" applyAlignment="1">
      <x:alignment vertical="top" wrapText="1"/>
    </x:xf>
    <x:xf numFmtId="200" fontId="11" fillId="140" borderId="16" xfId="0" applyNumberFormat="1" applyFont="1" applyFill="1" applyBorder="1" applyAlignment="1">
      <x:alignment horizontal="center" vertical="top" wrapText="1"/>
    </x:xf>
    <x:xf numFmtId="200" fontId="11" fillId="141" borderId="19" xfId="0" applyNumberFormat="1" applyFont="1" applyFill="1" applyBorder="1" applyAlignment="1">
      <x:alignment horizontal="center" vertical="top" wrapText="1"/>
    </x:xf>
    <x:xf numFmtId="200" fontId="11" fillId="140" borderId="19" xfId="0" applyNumberFormat="1" applyFont="1" applyFill="1" applyBorder="1" applyAlignment="1">
      <x:alignment horizontal="center" vertical="top" wrapText="1"/>
    </x:xf>
    <x:xf numFmtId="204" fontId="11" fillId="25" borderId="14" xfId="0" applyNumberFormat="1" applyFont="1" applyFill="1" applyBorder="1" applyAlignment="1">
      <x:alignment vertical="top" wrapText="1"/>
    </x:xf>
    <x:xf numFmtId="204" fontId="11" fillId="6" borderId="14" xfId="0" applyNumberFormat="1" applyFont="1" applyFill="1" applyBorder="1" applyAlignment="1">
      <x:alignment vertical="top" wrapText="1"/>
    </x:xf>
    <x:xf numFmtId="204" fontId="11" fillId="6" borderId="0" xfId="0" applyNumberFormat="1" applyFont="1" applyFill="1" applyBorder="1" applyAlignment="1">
      <x:alignment vertical="top" wrapText="1"/>
    </x:xf>
    <x:xf numFmtId="0" fontId="1" fillId="143" borderId="0" xfId="0" applyNumberFormat="1" applyFont="1" applyFill="1" applyBorder="1" applyAlignment="1">
      <x:alignment horizontal="left" vertical="center"/>
    </x:xf>
    <x:xf numFmtId="0" fontId="14" fillId="140" borderId="11" xfId="0" applyNumberFormat="1" applyFont="1" applyFill="1" applyBorder="1" applyAlignment="1">
      <x:alignment vertical="center" wrapText="1"/>
    </x:xf>
    <x:xf numFmtId="202" fontId="13" fillId="140" borderId="11" xfId="0" applyNumberFormat="1" applyFont="1" applyFill="1" applyBorder="1" applyAlignment="1">
      <x:alignment vertical="center" wrapText="1"/>
    </x:xf>
    <x:xf numFmtId="0" fontId="13" fillId="140" borderId="11" xfId="0" applyNumberFormat="1" applyFont="1" applyFill="1" applyBorder="1" applyAlignment="1">
      <x:alignment vertical="center" wrapText="1"/>
    </x:xf>
    <x:xf numFmtId="0" fontId="15" fillId="144" borderId="0" xfId="0" applyNumberFormat="1" applyFont="1" applyFill="1" applyBorder="1" applyAlignment="1">
      <x:alignment vertical="center" wrapText="1"/>
    </x:xf>
    <x:xf numFmtId="0" fontId="16" fillId="140" borderId="11" xfId="0" applyNumberFormat="1" applyFont="1" applyFill="1" applyBorder="1" applyAlignment="1">
      <x:alignment horizontal="center" vertical="center"/>
    </x:xf>
    <x:xf numFmtId="0" fontId="16" fillId="141" borderId="11" xfId="0" applyNumberFormat="1" applyFont="1" applyFill="1" applyBorder="1" applyAlignment="1">
      <x:alignment horizontal="center" vertical="center"/>
    </x:xf>
    <x:xf numFmtId="203" fontId="16" fillId="141" borderId="11" xfId="0" applyNumberFormat="1" applyFont="1" applyFill="1" applyBorder="1" applyAlignment="1">
      <x:alignment horizontal="center" vertical="center"/>
    </x:xf>
    <x:xf numFmtId="0" fontId="17" fillId="145" borderId="12" xfId="0" applyNumberFormat="1" applyFont="1" applyFill="1" applyBorder="1" applyAlignment="1">
      <x:alignment vertical="center" wrapText="1"/>
    </x:xf>
    <x:xf numFmtId="0" fontId="18" fillId="146" borderId="13" xfId="0" applyNumberFormat="1" applyFont="1" applyFill="1" applyBorder="1" applyAlignment="1">
      <x:alignment horizontal="center" vertical="center" wrapText="1"/>
    </x:xf>
    <x:xf numFmtId="0" fontId="11" fillId="147" borderId="14" xfId="0" applyNumberFormat="1" applyFont="1" applyFill="1" applyBorder="1" applyAlignment="1">
      <x:alignment vertical="top" wrapText="1"/>
    </x:xf>
    <x:xf numFmtId="204" fontId="11" fillId="147" borderId="14" xfId="0" applyNumberFormat="1" applyFont="1" applyFill="1" applyBorder="1" applyAlignment="1">
      <x:alignment vertical="top" wrapText="1"/>
    </x:xf>
    <x:xf numFmtId="0" fontId="11" fillId="147" borderId="14" xfId="0" applyNumberFormat="1" applyFont="1" applyFill="1" applyBorder="1" applyAlignment="1">
      <x:alignment horizontal="center" vertical="top" wrapText="1"/>
    </x:xf>
    <x:xf numFmtId="0" fontId="11" fillId="141" borderId="14" xfId="0" applyNumberFormat="1" applyFont="1" applyFill="1" applyBorder="1" applyAlignment="1">
      <x:alignment vertical="top" wrapText="1"/>
    </x:xf>
    <x:xf numFmtId="204" fontId="11" fillId="141" borderId="14" xfId="0" applyNumberFormat="1" applyFont="1" applyFill="1" applyBorder="1" applyAlignment="1">
      <x:alignment vertical="top" wrapText="1"/>
    </x:xf>
    <x:xf numFmtId="0" fontId="11" fillId="141" borderId="14" xfId="0" applyNumberFormat="1" applyFont="1" applyFill="1" applyBorder="1" applyAlignment="1">
      <x:alignment horizontal="center" vertical="top" wrapText="1"/>
    </x:xf>
    <x:xf numFmtId="0" fontId="11" fillId="141" borderId="0" xfId="0" applyNumberFormat="1" applyFont="1" applyFill="1" applyBorder="1" applyAlignment="1">
      <x:alignment vertical="top" wrapText="1"/>
    </x:xf>
    <x:xf numFmtId="204" fontId="11" fillId="141" borderId="0" xfId="0" applyNumberFormat="1" applyFont="1" applyFill="1" applyBorder="1" applyAlignment="1">
      <x:alignment vertical="top" wrapText="1"/>
    </x:xf>
    <x:xf numFmtId="0" fontId="11" fillId="141" borderId="0" xfId="0" applyNumberFormat="1" applyFont="1" applyFill="1" applyBorder="1" applyAlignment="1">
      <x:alignment horizontal="center" vertical="top" wrapText="1"/>
    </x:xf>
    <x:xf numFmtId="0" fontId="1" fillId="143" borderId="0" xfId="0" applyNumberFormat="1" applyFont="1" applyFill="1" applyBorder="1" applyAlignment="1">
      <x:alignment vertical="center"/>
    </x:xf>
    <x:xf numFmtId="0" fontId="13" fillId="140" borderId="0" xfId="0" applyNumberFormat="1" applyFont="1" applyFill="1" applyBorder="1" applyAlignment="1">
      <x:alignment vertical="center" wrapText="1"/>
    </x:xf>
    <x:xf numFmtId="0" fontId="3" fillId="139" borderId="0" xfId="0" applyNumberFormat="1" applyFont="1" applyFill="1" applyBorder="1" applyAlignment="1">
      <x:alignment horizontal="center" vertical="center" wrapText="1"/>
    </x:xf>
    <x:xf numFmtId="204" fontId="11" fillId="25" borderId="0" xfId="0" applyNumberFormat="1" applyFont="1" applyFill="1" applyBorder="1" applyAlignment="1">
      <x:alignment horizontal="center" vertical="top" wrapText="1"/>
    </x:xf>
    <x:xf numFmtId="204" fontId="11" fillId="6" borderId="0" xfId="0" applyNumberFormat="1" applyFont="1" applyFill="1" applyBorder="1" applyAlignment="1">
      <x:alignment horizontal="center" vertical="top" wrapText="1"/>
    </x:xf>
    <x:xf numFmtId="0" fontId="11" fillId="147" borderId="0" xfId="0" applyNumberFormat="1" applyFont="1" applyFill="1" applyBorder="1" applyAlignment="1">
      <x:alignment horizontal="center" vertical="top" wrapText="1"/>
    </x:xf>
    <x:xf numFmtId="204" fontId="11" fillId="147" borderId="0" xfId="0" applyNumberFormat="1" applyFont="1" applyFill="1" applyBorder="1" applyAlignment="1">
      <x:alignment horizontal="center" vertical="top" wrapText="1"/>
    </x:xf>
    <x:xf numFmtId="0" fontId="11" fillId="147" borderId="0" xfId="0" applyNumberFormat="1" applyFont="1" applyFill="1" applyBorder="1" applyAlignment="1">
      <x:alignment vertical="top" wrapText="1"/>
    </x:xf>
    <x:xf numFmtId="204" fontId="11" fillId="141" borderId="0" xfId="0" applyNumberFormat="1" applyFont="1" applyFill="1" applyBorder="1" applyAlignment="1">
      <x:alignment horizontal="center" vertical="top" wrapText="1"/>
    </x:xf>
    <x:xf numFmtId="0" fontId="20" fillId="148" borderId="10" xfId="0" applyNumberFormat="1" applyFont="1" applyFill="1" applyBorder="1" applyAlignment="1">
      <x:alignment vertical="top" wrapText="1"/>
    </x:xf>
    <x:xf numFmtId="0" fontId="20" fillId="148" borderId="10" xfId="0" applyNumberFormat="1" applyFont="1" applyFill="1" applyBorder="1"/>
    <x:xf numFmtId="0" fontId="20" fillId="148" borderId="10" xfId="0" applyNumberFormat="1" applyFont="1" applyFill="1" applyBorder="1" applyAlignment="1">
      <x:alignment wrapText="1"/>
    </x:xf>
    <x:xf numFmtId="0" fontId="20" fillId="148" borderId="10" xfId="0" applyNumberFormat="1" applyFont="1" applyFill="1" applyBorder="1" applyAlignment="1">
      <x:alignment vertical="center" wrapText="1"/>
    </x:xf>
    <x:xf numFmtId="0" fontId="31" fillId="148" borderId="10" xfId="0" applyNumberFormat="1" applyFont="1" applyFill="1" applyBorder="1" applyAlignment="1">
      <x:alignment vertical="top" wrapText="1"/>
    </x:xf>
    <x:xf numFmtId="0" fontId="31" fillId="148" borderId="10" xfId="0" applyNumberFormat="1" applyFont="1" applyFill="1" applyBorder="1"/>
    <x:xf numFmtId="0" fontId="31" fillId="148" borderId="10" xfId="0" applyNumberFormat="1" applyFont="1" applyFill="1" applyBorder="1" applyAlignment="1">
      <x:alignment wrapText="1"/>
    </x:xf>
    <x:xf numFmtId="0" fontId="31" fillId="148" borderId="10" xfId="0" applyNumberFormat="1" applyFont="1" applyFill="1" applyBorder="1" applyAlignment="1">
      <x:alignment vertical="center" wrapText="1"/>
    </x:xf>
    <x:xf numFmtId="0" fontId="3" fillId="149" borderId="1" xfId="0" applyNumberFormat="1" applyFont="1" applyFill="1" applyBorder="1" applyAlignment="1">
      <x:alignment horizontal="center" vertical="center" wrapText="1"/>
    </x:xf>
    <x:xf numFmtId="0" fontId="10" fillId="150" borderId="15" xfId="0" applyNumberFormat="1" applyFont="1" applyFill="1" applyBorder="1" applyAlignment="1">
      <x:alignment horizontal="center" vertical="top" wrapText="1"/>
    </x:xf>
    <x:xf numFmtId="0" fontId="11" fillId="150" borderId="16" xfId="0" applyNumberFormat="1" applyFont="1" applyFill="1" applyBorder="1" applyAlignment="1">
      <x:alignment horizontal="center" vertical="top" wrapText="1"/>
    </x:xf>
    <x:xf numFmtId="201" fontId="11" fillId="150" borderId="16" xfId="0" applyNumberFormat="1" applyFont="1" applyFill="1" applyBorder="1" applyAlignment="1">
      <x:alignment horizontal="center" vertical="top" wrapText="1"/>
    </x:xf>
    <x:xf numFmtId="0" fontId="11" fillId="150" borderId="16" xfId="0" applyNumberFormat="1" applyFont="1" applyFill="1" applyBorder="1" applyAlignment="1">
      <x:alignment vertical="top" wrapText="1"/>
    </x:xf>
    <x:xf numFmtId="0" fontId="11" fillId="150" borderId="17" xfId="0" applyNumberFormat="1" applyFont="1" applyFill="1" applyBorder="1" applyAlignment="1">
      <x:alignment vertical="top" wrapText="1"/>
    </x:xf>
    <x:xf numFmtId="0" fontId="11" fillId="151" borderId="18" xfId="0" applyNumberFormat="1" applyFont="1" applyFill="1" applyBorder="1" applyAlignment="1">
      <x:alignment horizontal="center" vertical="top" wrapText="1"/>
    </x:xf>
    <x:xf numFmtId="0" fontId="11" fillId="151" borderId="19" xfId="0" applyNumberFormat="1" applyFont="1" applyFill="1" applyBorder="1" applyAlignment="1">
      <x:alignment horizontal="center" vertical="top" wrapText="1"/>
    </x:xf>
    <x:xf numFmtId="201" fontId="11" fillId="151" borderId="19" xfId="0" applyNumberFormat="1" applyFont="1" applyFill="1" applyBorder="1" applyAlignment="1">
      <x:alignment horizontal="center" vertical="top" wrapText="1"/>
    </x:xf>
    <x:xf numFmtId="0" fontId="11" fillId="151" borderId="19" xfId="0" applyNumberFormat="1" applyFont="1" applyFill="1" applyBorder="1" applyAlignment="1">
      <x:alignment vertical="top" wrapText="1"/>
    </x:xf>
    <x:xf numFmtId="0" fontId="11" fillId="151" borderId="20" xfId="0" applyNumberFormat="1" applyFont="1" applyFill="1" applyBorder="1" applyAlignment="1">
      <x:alignment vertical="top" wrapText="1"/>
    </x:xf>
    <x:xf numFmtId="0" fontId="10" fillId="150" borderId="18" xfId="0" applyNumberFormat="1" applyFont="1" applyFill="1" applyBorder="1" applyAlignment="1">
      <x:alignment horizontal="center" vertical="top" wrapText="1"/>
    </x:xf>
    <x:xf numFmtId="0" fontId="11" fillId="150" borderId="19" xfId="0" applyNumberFormat="1" applyFont="1" applyFill="1" applyBorder="1" applyAlignment="1">
      <x:alignment horizontal="center" vertical="top" wrapText="1"/>
    </x:xf>
    <x:xf numFmtId="201" fontId="11" fillId="150" borderId="19" xfId="0" applyNumberFormat="1" applyFont="1" applyFill="1" applyBorder="1" applyAlignment="1">
      <x:alignment horizontal="center" vertical="top" wrapText="1"/>
    </x:xf>
    <x:xf numFmtId="0" fontId="11" fillId="150" borderId="19" xfId="0" applyNumberFormat="1" applyFont="1" applyFill="1" applyBorder="1" applyAlignment="1">
      <x:alignment vertical="top" wrapText="1"/>
    </x:xf>
    <x:xf numFmtId="0" fontId="11" fillId="150" borderId="20" xfId="0" applyNumberFormat="1" applyFont="1" applyFill="1" applyBorder="1" applyAlignment="1">
      <x:alignment vertical="top" wrapText="1"/>
    </x:xf>
    <x:xf numFmtId="0" fontId="10" fillId="151" borderId="18" xfId="0" applyNumberFormat="1" applyFont="1" applyFill="1" applyBorder="1" applyAlignment="1">
      <x:alignment horizontal="center" vertical="top" wrapText="1"/>
    </x:xf>
    <x:xf numFmtId="0" fontId="11" fillId="150" borderId="18" xfId="0" applyNumberFormat="1" applyFont="1" applyFill="1" applyBorder="1" applyAlignment="1">
      <x:alignment horizontal="center" vertical="top" wrapText="1"/>
    </x:xf>
    <x:xf numFmtId="0" fontId="11" fillId="151" borderId="21" xfId="0" applyNumberFormat="1" applyFont="1" applyFill="1" applyBorder="1" applyAlignment="1">
      <x:alignment horizontal="center" vertical="top" wrapText="1"/>
    </x:xf>
    <x:xf numFmtId="0" fontId="11" fillId="151" borderId="22" xfId="0" applyNumberFormat="1" applyFont="1" applyFill="1" applyBorder="1" applyAlignment="1">
      <x:alignment horizontal="center" vertical="top" wrapText="1"/>
    </x:xf>
    <x:xf numFmtId="201" fontId="11" fillId="151" borderId="22" xfId="0" applyNumberFormat="1" applyFont="1" applyFill="1" applyBorder="1" applyAlignment="1">
      <x:alignment horizontal="center" vertical="top" wrapText="1"/>
    </x:xf>
    <x:xf numFmtId="0" fontId="11" fillId="151" borderId="22" xfId="0" applyNumberFormat="1" applyFont="1" applyFill="1" applyBorder="1" applyAlignment="1">
      <x:alignment vertical="top" wrapText="1"/>
    </x:xf>
    <x:xf numFmtId="0" fontId="11" fillId="151" borderId="23" xfId="0" applyNumberFormat="1" applyFont="1" applyFill="1" applyBorder="1" applyAlignment="1">
      <x:alignment vertical="top" wrapText="1"/>
    </x:xf>
    <x:xf numFmtId="0" fontId="11" fillId="150" borderId="0" xfId="0" applyNumberFormat="1" applyFont="1" applyFill="1" applyBorder="1" applyAlignment="1">
      <x:alignment horizontal="center" vertical="top" wrapText="1"/>
    </x:xf>
    <x:xf numFmtId="201" fontId="11" fillId="150" borderId="0" xfId="0" applyNumberFormat="1" applyFont="1" applyFill="1" applyBorder="1" applyAlignment="1">
      <x:alignment horizontal="center" vertical="top" wrapText="1"/>
    </x:xf>
    <x:xf numFmtId="0" fontId="11" fillId="150" borderId="0" xfId="0" applyNumberFormat="1" applyFont="1" applyFill="1" applyBorder="1" applyAlignment="1">
      <x:alignment vertical="top" wrapText="1"/>
    </x:xf>
    <x:xf numFmtId="0" fontId="11" fillId="151" borderId="0" xfId="0" applyNumberFormat="1" applyFont="1" applyFill="1" applyBorder="1" applyAlignment="1">
      <x:alignment horizontal="center" vertical="top" wrapText="1"/>
    </x:xf>
    <x:xf numFmtId="201" fontId="11" fillId="151" borderId="0" xfId="0" applyNumberFormat="1" applyFont="1" applyFill="1" applyBorder="1" applyAlignment="1">
      <x:alignment horizontal="center" vertical="top" wrapText="1"/>
    </x:xf>
    <x:xf numFmtId="0" fontId="11" fillId="151" borderId="0" xfId="0" applyNumberFormat="1" applyFont="1" applyFill="1" applyBorder="1" applyAlignment="1">
      <x:alignment vertical="top" wrapText="1"/>
    </x:xf>
    <x:xf numFmtId="0" fontId="11" fillId="150" borderId="15" xfId="0" applyNumberFormat="1" applyFont="1" applyFill="1" applyBorder="1" applyAlignment="1">
      <x:alignment horizontal="center" vertical="top" wrapText="1"/>
    </x:xf>
    <x:xf numFmtId="0" fontId="11" fillId="152" borderId="15" xfId="0" applyNumberFormat="1" applyFont="1" applyFill="1" applyBorder="1" applyAlignment="1">
      <x:alignment horizontal="center" vertical="top" wrapText="1"/>
    </x:xf>
    <x:xf numFmtId="0" fontId="11" fillId="152" borderId="16" xfId="0" applyNumberFormat="1" applyFont="1" applyFill="1" applyBorder="1" applyAlignment="1">
      <x:alignment horizontal="center" vertical="top" wrapText="1"/>
    </x:xf>
    <x:xf numFmtId="0" fontId="11" fillId="152" borderId="16" xfId="0" applyNumberFormat="1" applyFont="1" applyFill="1" applyBorder="1" applyAlignment="1">
      <x:alignment vertical="top" wrapText="1"/>
    </x:xf>
    <x:xf numFmtId="0" fontId="11" fillId="152" borderId="17" xfId="0" applyNumberFormat="1" applyFont="1" applyFill="1" applyBorder="1" applyAlignment="1">
      <x:alignment vertical="top" wrapText="1"/>
    </x:xf>
    <x:xf numFmtId="0" fontId="11" fillId="152" borderId="18" xfId="0" applyNumberFormat="1" applyFont="1" applyFill="1" applyBorder="1" applyAlignment="1">
      <x:alignment horizontal="center" vertical="top" wrapText="1"/>
    </x:xf>
    <x:xf numFmtId="0" fontId="11" fillId="152" borderId="19" xfId="0" applyNumberFormat="1" applyFont="1" applyFill="1" applyBorder="1" applyAlignment="1">
      <x:alignment horizontal="center" vertical="top" wrapText="1"/>
    </x:xf>
    <x:xf numFmtId="0" fontId="11" fillId="152" borderId="19" xfId="0" applyNumberFormat="1" applyFont="1" applyFill="1" applyBorder="1" applyAlignment="1">
      <x:alignment vertical="top" wrapText="1"/>
    </x:xf>
    <x:xf numFmtId="0" fontId="11" fillId="152" borderId="20" xfId="0" applyNumberFormat="1" applyFont="1" applyFill="1" applyBorder="1" applyAlignment="1">
      <x:alignment vertical="top" wrapText="1"/>
    </x:xf>
    <x:xf numFmtId="0" fontId="11" fillId="152" borderId="0" xfId="0" applyNumberFormat="1" applyFont="1" applyFill="1" applyBorder="1" applyAlignment="1">
      <x:alignment horizontal="center" vertical="top" wrapText="1"/>
    </x:xf>
    <x:xf numFmtId="0" fontId="11" fillId="152" borderId="0" xfId="0" applyNumberFormat="1" applyFont="1" applyFill="1" applyBorder="1" applyAlignment="1">
      <x:alignment vertical="top" wrapText="1"/>
    </x:xf>
    <x:xf numFmtId="200" fontId="11" fillId="150" borderId="16" xfId="0" applyNumberFormat="1" applyFont="1" applyFill="1" applyBorder="1" applyAlignment="1">
      <x:alignment horizontal="center" vertical="top" wrapText="1"/>
    </x:xf>
    <x:xf numFmtId="200" fontId="11" fillId="151" borderId="19" xfId="0" applyNumberFormat="1" applyFont="1" applyFill="1" applyBorder="1" applyAlignment="1">
      <x:alignment horizontal="center" vertical="top" wrapText="1"/>
    </x:xf>
    <x:xf numFmtId="200" fontId="11" fillId="150" borderId="19" xfId="0" applyNumberFormat="1" applyFont="1" applyFill="1" applyBorder="1" applyAlignment="1">
      <x:alignment horizontal="center" vertical="top" wrapText="1"/>
    </x:xf>
    <x:xf numFmtId="204" fontId="0" fillId="0" borderId="0" xfId="0" applyNumberFormat="1" applyFont="1" applyFill="1" applyBorder="1"/>
    <x:xf numFmtId="0" fontId="1" fillId="153" borderId="0" xfId="0" applyNumberFormat="1" applyFont="1" applyFill="1" applyBorder="1" applyAlignment="1">
      <x:alignment horizontal="left" vertical="center"/>
    </x:xf>
    <x:xf numFmtId="0" fontId="14" fillId="150" borderId="11" xfId="0" applyNumberFormat="1" applyFont="1" applyFill="1" applyBorder="1" applyAlignment="1">
      <x:alignment vertical="center" wrapText="1"/>
    </x:xf>
    <x:xf numFmtId="202" fontId="13" fillId="150" borderId="11" xfId="0" applyNumberFormat="1" applyFont="1" applyFill="1" applyBorder="1" applyAlignment="1">
      <x:alignment vertical="center" wrapText="1"/>
    </x:xf>
    <x:xf numFmtId="0" fontId="13" fillId="150" borderId="11" xfId="0" applyNumberFormat="1" applyFont="1" applyFill="1" applyBorder="1" applyAlignment="1">
      <x:alignment vertical="center" wrapText="1"/>
    </x:xf>
    <x:xf numFmtId="0" fontId="15" fillId="154" borderId="0" xfId="0" applyNumberFormat="1" applyFont="1" applyFill="1" applyBorder="1" applyAlignment="1">
      <x:alignment vertical="center" wrapText="1"/>
    </x:xf>
    <x:xf numFmtId="0" fontId="16" fillId="150" borderId="11" xfId="0" applyNumberFormat="1" applyFont="1" applyFill="1" applyBorder="1" applyAlignment="1">
      <x:alignment horizontal="center" vertical="center"/>
    </x:xf>
    <x:xf numFmtId="0" fontId="16" fillId="151" borderId="11" xfId="0" applyNumberFormat="1" applyFont="1" applyFill="1" applyBorder="1" applyAlignment="1">
      <x:alignment horizontal="center" vertical="center"/>
    </x:xf>
    <x:xf numFmtId="203" fontId="16" fillId="151" borderId="11" xfId="0" applyNumberFormat="1" applyFont="1" applyFill="1" applyBorder="1" applyAlignment="1">
      <x:alignment horizontal="center" vertical="center"/>
    </x:xf>
    <x:xf numFmtId="0" fontId="17" fillId="155" borderId="12" xfId="0" applyNumberFormat="1" applyFont="1" applyFill="1" applyBorder="1" applyAlignment="1">
      <x:alignment vertical="center" wrapText="1"/>
    </x:xf>
    <x:xf numFmtId="0" fontId="18" fillId="156" borderId="13" xfId="0" applyNumberFormat="1" applyFont="1" applyFill="1" applyBorder="1" applyAlignment="1">
      <x:alignment horizontal="center" vertical="center" wrapText="1"/>
    </x:xf>
    <x:xf numFmtId="0" fontId="11" fillId="157" borderId="14" xfId="0" applyNumberFormat="1" applyFont="1" applyFill="1" applyBorder="1" applyAlignment="1">
      <x:alignment vertical="top" wrapText="1"/>
    </x:xf>
    <x:xf numFmtId="204" fontId="11" fillId="157" borderId="14" xfId="0" applyNumberFormat="1" applyFont="1" applyFill="1" applyBorder="1" applyAlignment="1">
      <x:alignment vertical="top" wrapText="1"/>
    </x:xf>
    <x:xf numFmtId="0" fontId="11" fillId="157" borderId="14" xfId="0" applyNumberFormat="1" applyFont="1" applyFill="1" applyBorder="1" applyAlignment="1">
      <x:alignment horizontal="center" vertical="top" wrapText="1"/>
    </x:xf>
    <x:xf numFmtId="0" fontId="11" fillId="151" borderId="14" xfId="0" applyNumberFormat="1" applyFont="1" applyFill="1" applyBorder="1" applyAlignment="1">
      <x:alignment vertical="top" wrapText="1"/>
    </x:xf>
    <x:xf numFmtId="204" fontId="11" fillId="151" borderId="14" xfId="0" applyNumberFormat="1" applyFont="1" applyFill="1" applyBorder="1" applyAlignment="1">
      <x:alignment vertical="top" wrapText="1"/>
    </x:xf>
    <x:xf numFmtId="0" fontId="11" fillId="151" borderId="14" xfId="0" applyNumberFormat="1" applyFont="1" applyFill="1" applyBorder="1" applyAlignment="1">
      <x:alignment horizontal="center" vertical="top" wrapText="1"/>
    </x:xf>
    <x:xf numFmtId="204" fontId="11" fillId="151" borderId="0" xfId="0" applyNumberFormat="1" applyFont="1" applyFill="1" applyBorder="1" applyAlignment="1">
      <x:alignment vertical="top" wrapText="1"/>
    </x:xf>
    <x:xf numFmtId="0" fontId="0" fillId="157" borderId="0" xfId="0" applyNumberFormat="1" applyFont="1" applyFill="1" applyBorder="1"/>
    <x:xf numFmtId="204" fontId="0" fillId="157" borderId="0" xfId="0" applyNumberFormat="1" applyFont="1" applyFill="1" applyBorder="1"/>
    <x:xf numFmtId="0" fontId="0" fillId="151" borderId="0" xfId="0" applyNumberFormat="1" applyFont="1" applyFill="1" applyBorder="1"/>
    <x:xf numFmtId="204" fontId="0" fillId="151" borderId="0" xfId="0" applyNumberFormat="1" applyFont="1" applyFill="1" applyBorder="1"/>
    <x:xf numFmtId="0" fontId="0" fillId="157" borderId="0" xfId="0" applyNumberFormat="1" applyFont="1" applyFill="1" applyBorder="1" applyAlignment="1">
      <x:alignment wrapText="1"/>
    </x:xf>
    <x:xf numFmtId="204" fontId="0" fillId="157" borderId="0" xfId="0" applyNumberFormat="1" applyFont="1" applyFill="1" applyBorder="1" applyAlignment="1">
      <x:alignment wrapText="1"/>
    </x:xf>
    <x:xf numFmtId="0" fontId="0" fillId="151" borderId="0" xfId="0" applyNumberFormat="1" applyFont="1" applyFill="1" applyBorder="1" applyAlignment="1">
      <x:alignment wrapText="1"/>
    </x:xf>
    <x:xf numFmtId="204" fontId="0" fillId="151" borderId="0" xfId="0" applyNumberFormat="1" applyFont="1" applyFill="1" applyBorder="1" applyAlignment="1">
      <x:alignment wrapText="1"/>
    </x:xf>
    <x:xf numFmtId="0" fontId="0" fillId="157" borderId="0" xfId="0" applyNumberFormat="1" applyFont="1" applyFill="1" applyBorder="1" applyAlignment="1">
      <x:alignment vertical="top" wrapText="1"/>
    </x:xf>
    <x:xf numFmtId="204" fontId="0" fillId="157" borderId="0" xfId="0" applyNumberFormat="1" applyFont="1" applyFill="1" applyBorder="1" applyAlignment="1">
      <x:alignment vertical="top" wrapText="1"/>
    </x:xf>
    <x:xf numFmtId="0" fontId="0" fillId="151" borderId="0" xfId="0" applyNumberFormat="1" applyFont="1" applyFill="1" applyBorder="1" applyAlignment="1">
      <x:alignment vertical="top" wrapText="1"/>
    </x:xf>
    <x:xf numFmtId="204" fontId="0" fillId="151" borderId="0" xfId="0" applyNumberFormat="1" applyFont="1" applyFill="1" applyBorder="1" applyAlignment="1">
      <x:alignment vertical="top" wrapText="1"/>
    </x:xf>
    <x:xf numFmtId="0" fontId="11" fillId="157" borderId="0" xfId="0" applyNumberFormat="1" applyFont="1" applyFill="1" applyBorder="1" applyAlignment="1">
      <x:alignment vertical="top" wrapText="1"/>
    </x:xf>
    <x:xf numFmtId="204" fontId="11" fillId="157" borderId="0" xfId="0" applyNumberFormat="1" applyFont="1" applyFill="1" applyBorder="1" applyAlignment="1">
      <x:alignment vertical="top" wrapText="1"/>
    </x:xf>
    <x:xf numFmtId="0" fontId="11" fillId="157" borderId="0" xfId="0" applyNumberFormat="1" applyFont="1" applyFill="1" applyBorder="1" applyAlignment="1">
      <x:alignment horizontal="center" vertical="top" wrapText="1"/>
    </x:xf>
    <x:xf numFmtId="0" fontId="1" fillId="153" borderId="0" xfId="0" applyNumberFormat="1" applyFont="1" applyFill="1" applyBorder="1" applyAlignment="1">
      <x:alignment vertical="center"/>
    </x:xf>
    <x:xf numFmtId="0" fontId="13" fillId="150" borderId="0" xfId="0" applyNumberFormat="1" applyFont="1" applyFill="1" applyBorder="1" applyAlignment="1">
      <x:alignment vertical="center" wrapText="1"/>
    </x:xf>
    <x:xf numFmtId="0" fontId="3" fillId="149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vertical="top" wrapText="1"/>
    </x:xf>
    <x:xf numFmtId="204" fontId="11" fillId="0" borderId="0" xfId="0" applyNumberFormat="1" applyFont="1" applyFill="1" applyBorder="1" applyAlignment="1">
      <x:alignment vertical="top" wrapText="1"/>
    </x:xf>
    <x:xf numFmtId="204" fontId="11" fillId="157" borderId="0" xfId="0" applyNumberFormat="1" applyFont="1" applyFill="1" applyBorder="1" applyAlignment="1">
      <x:alignment horizontal="center" vertical="top" wrapText="1"/>
    </x:xf>
    <x:xf numFmtId="204" fontId="11" fillId="151" borderId="0" xfId="0" applyNumberFormat="1" applyFont="1" applyFill="1" applyBorder="1" applyAlignment="1">
      <x:alignment horizontal="center" vertical="top" wrapText="1"/>
    </x:xf>
    <x:xf numFmtId="204" fontId="11" fillId="0" borderId="0" xfId="0" applyNumberFormat="1" applyFont="1" applyFill="1" applyBorder="1" applyAlignment="1">
      <x:alignment horizontal="center" vertical="top" wrapText="1"/>
    </x:xf>
    <x:xf numFmtId="0" fontId="20" fillId="158" borderId="10" xfId="0" applyNumberFormat="1" applyFont="1" applyFill="1" applyBorder="1" applyAlignment="1">
      <x:alignment vertical="top" wrapText="1"/>
    </x:xf>
    <x:xf numFmtId="0" fontId="20" fillId="158" borderId="10" xfId="0" applyNumberFormat="1" applyFont="1" applyFill="1" applyBorder="1"/>
    <x:xf numFmtId="0" fontId="20" fillId="158" borderId="10" xfId="0" applyNumberFormat="1" applyFont="1" applyFill="1" applyBorder="1" applyAlignment="1">
      <x:alignment wrapText="1"/>
    </x:xf>
    <x:xf numFmtId="0" fontId="20" fillId="158" borderId="10" xfId="0" applyNumberFormat="1" applyFont="1" applyFill="1" applyBorder="1" applyAlignment="1">
      <x:alignment vertical="center" wrapText="1"/>
    </x:xf>
    <x:xf numFmtId="0" fontId="32" fillId="158" borderId="10" xfId="0" applyNumberFormat="1" applyFont="1" applyFill="1" applyBorder="1" applyAlignment="1">
      <x:alignment vertical="top" wrapText="1"/>
    </x:xf>
    <x:xf numFmtId="0" fontId="32" fillId="158" borderId="10" xfId="0" applyNumberFormat="1" applyFont="1" applyFill="1" applyBorder="1"/>
    <x:xf numFmtId="0" fontId="32" fillId="158" borderId="10" xfId="0" applyNumberFormat="1" applyFont="1" applyFill="1" applyBorder="1" applyAlignment="1">
      <x:alignment wrapText="1"/>
    </x:xf>
    <x:xf numFmtId="0" fontId="32" fillId="158" borderId="10" xfId="0" applyNumberFormat="1" applyFont="1" applyFill="1" applyBorder="1" applyAlignment="1">
      <x:alignment vertical="center" wrapText="1"/>
    </x:xf>
    <x:xf numFmtId="0" fontId="3" fillId="159" borderId="1" xfId="0" applyNumberFormat="1" applyFont="1" applyFill="1" applyBorder="1" applyAlignment="1">
      <x:alignment horizontal="center" vertical="center" wrapText="1"/>
    </x:xf>
    <x:xf numFmtId="0" fontId="10" fillId="160" borderId="15" xfId="0" applyNumberFormat="1" applyFont="1" applyFill="1" applyBorder="1" applyAlignment="1">
      <x:alignment horizontal="center" vertical="top" wrapText="1"/>
    </x:xf>
    <x:xf numFmtId="0" fontId="11" fillId="160" borderId="16" xfId="0" applyNumberFormat="1" applyFont="1" applyFill="1" applyBorder="1" applyAlignment="1">
      <x:alignment horizontal="center" vertical="top" wrapText="1"/>
    </x:xf>
    <x:xf numFmtId="201" fontId="11" fillId="160" borderId="16" xfId="0" applyNumberFormat="1" applyFont="1" applyFill="1" applyBorder="1" applyAlignment="1">
      <x:alignment horizontal="center" vertical="top" wrapText="1"/>
    </x:xf>
    <x:xf numFmtId="0" fontId="11" fillId="160" borderId="16" xfId="0" applyNumberFormat="1" applyFont="1" applyFill="1" applyBorder="1" applyAlignment="1">
      <x:alignment vertical="top" wrapText="1"/>
    </x:xf>
    <x:xf numFmtId="0" fontId="11" fillId="160" borderId="17" xfId="0" applyNumberFormat="1" applyFont="1" applyFill="1" applyBorder="1" applyAlignment="1">
      <x:alignment vertical="top" wrapText="1"/>
    </x:xf>
    <x:xf numFmtId="0" fontId="11" fillId="161" borderId="18" xfId="0" applyNumberFormat="1" applyFont="1" applyFill="1" applyBorder="1" applyAlignment="1">
      <x:alignment horizontal="center" vertical="top" wrapText="1"/>
    </x:xf>
    <x:xf numFmtId="0" fontId="11" fillId="161" borderId="19" xfId="0" applyNumberFormat="1" applyFont="1" applyFill="1" applyBorder="1" applyAlignment="1">
      <x:alignment horizontal="center" vertical="top" wrapText="1"/>
    </x:xf>
    <x:xf numFmtId="201" fontId="11" fillId="161" borderId="19" xfId="0" applyNumberFormat="1" applyFont="1" applyFill="1" applyBorder="1" applyAlignment="1">
      <x:alignment horizontal="center" vertical="top" wrapText="1"/>
    </x:xf>
    <x:xf numFmtId="0" fontId="11" fillId="161" borderId="19" xfId="0" applyNumberFormat="1" applyFont="1" applyFill="1" applyBorder="1" applyAlignment="1">
      <x:alignment vertical="top" wrapText="1"/>
    </x:xf>
    <x:xf numFmtId="0" fontId="11" fillId="161" borderId="20" xfId="0" applyNumberFormat="1" applyFont="1" applyFill="1" applyBorder="1" applyAlignment="1">
      <x:alignment vertical="top" wrapText="1"/>
    </x:xf>
    <x:xf numFmtId="0" fontId="10" fillId="160" borderId="18" xfId="0" applyNumberFormat="1" applyFont="1" applyFill="1" applyBorder="1" applyAlignment="1">
      <x:alignment horizontal="center" vertical="top" wrapText="1"/>
    </x:xf>
    <x:xf numFmtId="0" fontId="11" fillId="160" borderId="19" xfId="0" applyNumberFormat="1" applyFont="1" applyFill="1" applyBorder="1" applyAlignment="1">
      <x:alignment horizontal="center" vertical="top" wrapText="1"/>
    </x:xf>
    <x:xf numFmtId="201" fontId="11" fillId="160" borderId="19" xfId="0" applyNumberFormat="1" applyFont="1" applyFill="1" applyBorder="1" applyAlignment="1">
      <x:alignment horizontal="center" vertical="top" wrapText="1"/>
    </x:xf>
    <x:xf numFmtId="0" fontId="11" fillId="160" borderId="19" xfId="0" applyNumberFormat="1" applyFont="1" applyFill="1" applyBorder="1" applyAlignment="1">
      <x:alignment vertical="top" wrapText="1"/>
    </x:xf>
    <x:xf numFmtId="0" fontId="11" fillId="160" borderId="20" xfId="0" applyNumberFormat="1" applyFont="1" applyFill="1" applyBorder="1" applyAlignment="1">
      <x:alignment vertical="top" wrapText="1"/>
    </x:xf>
    <x:xf numFmtId="0" fontId="10" fillId="161" borderId="18" xfId="0" applyNumberFormat="1" applyFont="1" applyFill="1" applyBorder="1" applyAlignment="1">
      <x:alignment horizontal="center" vertical="top" wrapText="1"/>
    </x:xf>
    <x:xf numFmtId="0" fontId="11" fillId="160" borderId="18" xfId="0" applyNumberFormat="1" applyFont="1" applyFill="1" applyBorder="1" applyAlignment="1">
      <x:alignment horizontal="center" vertical="top" wrapText="1"/>
    </x:xf>
    <x:xf numFmtId="0" fontId="11" fillId="161" borderId="21" xfId="0" applyNumberFormat="1" applyFont="1" applyFill="1" applyBorder="1" applyAlignment="1">
      <x:alignment horizontal="center" vertical="top" wrapText="1"/>
    </x:xf>
    <x:xf numFmtId="0" fontId="11" fillId="161" borderId="22" xfId="0" applyNumberFormat="1" applyFont="1" applyFill="1" applyBorder="1" applyAlignment="1">
      <x:alignment horizontal="center" vertical="top" wrapText="1"/>
    </x:xf>
    <x:xf numFmtId="201" fontId="11" fillId="161" borderId="22" xfId="0" applyNumberFormat="1" applyFont="1" applyFill="1" applyBorder="1" applyAlignment="1">
      <x:alignment horizontal="center" vertical="top" wrapText="1"/>
    </x:xf>
    <x:xf numFmtId="0" fontId="11" fillId="161" borderId="22" xfId="0" applyNumberFormat="1" applyFont="1" applyFill="1" applyBorder="1" applyAlignment="1">
      <x:alignment vertical="top" wrapText="1"/>
    </x:xf>
    <x:xf numFmtId="0" fontId="11" fillId="161" borderId="23" xfId="0" applyNumberFormat="1" applyFont="1" applyFill="1" applyBorder="1" applyAlignment="1">
      <x:alignment vertical="top" wrapText="1"/>
    </x:xf>
    <x:xf numFmtId="0" fontId="11" fillId="160" borderId="0" xfId="0" applyNumberFormat="1" applyFont="1" applyFill="1" applyBorder="1" applyAlignment="1">
      <x:alignment horizontal="center" vertical="top" wrapText="1"/>
    </x:xf>
    <x:xf numFmtId="201" fontId="11" fillId="160" borderId="0" xfId="0" applyNumberFormat="1" applyFont="1" applyFill="1" applyBorder="1" applyAlignment="1">
      <x:alignment horizontal="center" vertical="top" wrapText="1"/>
    </x:xf>
    <x:xf numFmtId="0" fontId="11" fillId="160" borderId="0" xfId="0" applyNumberFormat="1" applyFont="1" applyFill="1" applyBorder="1" applyAlignment="1">
      <x:alignment vertical="top" wrapText="1"/>
    </x:xf>
    <x:xf numFmtId="0" fontId="11" fillId="161" borderId="0" xfId="0" applyNumberFormat="1" applyFont="1" applyFill="1" applyBorder="1" applyAlignment="1">
      <x:alignment horizontal="center" vertical="top" wrapText="1"/>
    </x:xf>
    <x:xf numFmtId="201" fontId="11" fillId="161" borderId="0" xfId="0" applyNumberFormat="1" applyFont="1" applyFill="1" applyBorder="1" applyAlignment="1">
      <x:alignment horizontal="center" vertical="top" wrapText="1"/>
    </x:xf>
    <x:xf numFmtId="0" fontId="11" fillId="161" borderId="0" xfId="0" applyNumberFormat="1" applyFont="1" applyFill="1" applyBorder="1" applyAlignment="1">
      <x:alignment vertical="top" wrapText="1"/>
    </x:xf>
    <x:xf numFmtId="0" fontId="11" fillId="160" borderId="15" xfId="0" applyNumberFormat="1" applyFont="1" applyFill="1" applyBorder="1" applyAlignment="1">
      <x:alignment horizontal="center" vertical="top" wrapText="1"/>
    </x:xf>
    <x:xf numFmtId="0" fontId="11" fillId="162" borderId="15" xfId="0" applyNumberFormat="1" applyFont="1" applyFill="1" applyBorder="1" applyAlignment="1">
      <x:alignment horizontal="center" vertical="top" wrapText="1"/>
    </x:xf>
    <x:xf numFmtId="0" fontId="11" fillId="162" borderId="16" xfId="0" applyNumberFormat="1" applyFont="1" applyFill="1" applyBorder="1" applyAlignment="1">
      <x:alignment horizontal="center" vertical="top" wrapText="1"/>
    </x:xf>
    <x:xf numFmtId="0" fontId="11" fillId="162" borderId="16" xfId="0" applyNumberFormat="1" applyFont="1" applyFill="1" applyBorder="1" applyAlignment="1">
      <x:alignment vertical="top" wrapText="1"/>
    </x:xf>
    <x:xf numFmtId="0" fontId="11" fillId="162" borderId="17" xfId="0" applyNumberFormat="1" applyFont="1" applyFill="1" applyBorder="1" applyAlignment="1">
      <x:alignment vertical="top" wrapText="1"/>
    </x:xf>
    <x:xf numFmtId="0" fontId="11" fillId="162" borderId="18" xfId="0" applyNumberFormat="1" applyFont="1" applyFill="1" applyBorder="1" applyAlignment="1">
      <x:alignment horizontal="center" vertical="top" wrapText="1"/>
    </x:xf>
    <x:xf numFmtId="0" fontId="11" fillId="162" borderId="19" xfId="0" applyNumberFormat="1" applyFont="1" applyFill="1" applyBorder="1" applyAlignment="1">
      <x:alignment horizontal="center" vertical="top" wrapText="1"/>
    </x:xf>
    <x:xf numFmtId="0" fontId="11" fillId="162" borderId="19" xfId="0" applyNumberFormat="1" applyFont="1" applyFill="1" applyBorder="1" applyAlignment="1">
      <x:alignment vertical="top" wrapText="1"/>
    </x:xf>
    <x:xf numFmtId="0" fontId="11" fillId="162" borderId="20" xfId="0" applyNumberFormat="1" applyFont="1" applyFill="1" applyBorder="1" applyAlignment="1">
      <x:alignment vertical="top" wrapText="1"/>
    </x:xf>
    <x:xf numFmtId="0" fontId="11" fillId="162" borderId="0" xfId="0" applyNumberFormat="1" applyFont="1" applyFill="1" applyBorder="1" applyAlignment="1">
      <x:alignment horizontal="center" vertical="top" wrapText="1"/>
    </x:xf>
    <x:xf numFmtId="0" fontId="11" fillId="162" borderId="0" xfId="0" applyNumberFormat="1" applyFont="1" applyFill="1" applyBorder="1" applyAlignment="1">
      <x:alignment vertical="top" wrapText="1"/>
    </x:xf>
    <x:xf numFmtId="200" fontId="11" fillId="160" borderId="16" xfId="0" applyNumberFormat="1" applyFont="1" applyFill="1" applyBorder="1" applyAlignment="1">
      <x:alignment horizontal="center" vertical="top" wrapText="1"/>
    </x:xf>
    <x:xf numFmtId="200" fontId="11" fillId="161" borderId="19" xfId="0" applyNumberFormat="1" applyFont="1" applyFill="1" applyBorder="1" applyAlignment="1">
      <x:alignment horizontal="center" vertical="top" wrapText="1"/>
    </x:xf>
    <x:xf numFmtId="200" fontId="11" fillId="160" borderId="19" xfId="0" applyNumberFormat="1" applyFont="1" applyFill="1" applyBorder="1" applyAlignment="1">
      <x:alignment horizontal="center" vertical="top" wrapText="1"/>
    </x:xf>
    <x:xf numFmtId="204" fontId="11" fillId="25" borderId="0" xfId="0" applyNumberFormat="1" applyFont="1" applyFill="1" applyBorder="1" applyAlignment="1">
      <x:alignment vertical="top" wrapText="1"/>
    </x:xf>
    <x:xf numFmtId="0" fontId="1" fillId="163" borderId="0" xfId="0" applyNumberFormat="1" applyFont="1" applyFill="1" applyBorder="1" applyAlignment="1">
      <x:alignment horizontal="left" vertical="center"/>
    </x:xf>
    <x:xf numFmtId="0" fontId="14" fillId="160" borderId="11" xfId="0" applyNumberFormat="1" applyFont="1" applyFill="1" applyBorder="1" applyAlignment="1">
      <x:alignment vertical="center" wrapText="1"/>
    </x:xf>
    <x:xf numFmtId="202" fontId="13" fillId="160" borderId="11" xfId="0" applyNumberFormat="1" applyFont="1" applyFill="1" applyBorder="1" applyAlignment="1">
      <x:alignment vertical="center" wrapText="1"/>
    </x:xf>
    <x:xf numFmtId="0" fontId="13" fillId="160" borderId="11" xfId="0" applyNumberFormat="1" applyFont="1" applyFill="1" applyBorder="1" applyAlignment="1">
      <x:alignment vertical="center" wrapText="1"/>
    </x:xf>
    <x:xf numFmtId="0" fontId="15" fillId="164" borderId="0" xfId="0" applyNumberFormat="1" applyFont="1" applyFill="1" applyBorder="1" applyAlignment="1">
      <x:alignment vertical="center" wrapText="1"/>
    </x:xf>
    <x:xf numFmtId="0" fontId="16" fillId="160" borderId="11" xfId="0" applyNumberFormat="1" applyFont="1" applyFill="1" applyBorder="1" applyAlignment="1">
      <x:alignment horizontal="center" vertical="center"/>
    </x:xf>
    <x:xf numFmtId="0" fontId="16" fillId="161" borderId="11" xfId="0" applyNumberFormat="1" applyFont="1" applyFill="1" applyBorder="1" applyAlignment="1">
      <x:alignment horizontal="center" vertical="center"/>
    </x:xf>
    <x:xf numFmtId="203" fontId="16" fillId="161" borderId="11" xfId="0" applyNumberFormat="1" applyFont="1" applyFill="1" applyBorder="1" applyAlignment="1">
      <x:alignment horizontal="center" vertical="center"/>
    </x:xf>
    <x:xf numFmtId="0" fontId="17" fillId="165" borderId="12" xfId="0" applyNumberFormat="1" applyFont="1" applyFill="1" applyBorder="1" applyAlignment="1">
      <x:alignment vertical="center" wrapText="1"/>
    </x:xf>
    <x:xf numFmtId="0" fontId="18" fillId="166" borderId="13" xfId="0" applyNumberFormat="1" applyFont="1" applyFill="1" applyBorder="1" applyAlignment="1">
      <x:alignment horizontal="center" vertical="center" wrapText="1"/>
    </x:xf>
    <x:xf numFmtId="0" fontId="11" fillId="167" borderId="14" xfId="0" applyNumberFormat="1" applyFont="1" applyFill="1" applyBorder="1" applyAlignment="1">
      <x:alignment vertical="top" wrapText="1"/>
    </x:xf>
    <x:xf numFmtId="204" fontId="11" fillId="167" borderId="14" xfId="0" applyNumberFormat="1" applyFont="1" applyFill="1" applyBorder="1" applyAlignment="1">
      <x:alignment vertical="top" wrapText="1"/>
    </x:xf>
    <x:xf numFmtId="0" fontId="11" fillId="167" borderId="14" xfId="0" applyNumberFormat="1" applyFont="1" applyFill="1" applyBorder="1" applyAlignment="1">
      <x:alignment horizontal="center" vertical="top" wrapText="1"/>
    </x:xf>
    <x:xf numFmtId="0" fontId="11" fillId="161" borderId="14" xfId="0" applyNumberFormat="1" applyFont="1" applyFill="1" applyBorder="1" applyAlignment="1">
      <x:alignment vertical="top" wrapText="1"/>
    </x:xf>
    <x:xf numFmtId="204" fontId="11" fillId="161" borderId="14" xfId="0" applyNumberFormat="1" applyFont="1" applyFill="1" applyBorder="1" applyAlignment="1">
      <x:alignment vertical="top" wrapText="1"/>
    </x:xf>
    <x:xf numFmtId="0" fontId="11" fillId="161" borderId="14" xfId="0" applyNumberFormat="1" applyFont="1" applyFill="1" applyBorder="1" applyAlignment="1">
      <x:alignment horizontal="center" vertical="top" wrapText="1"/>
    </x:xf>
    <x:xf numFmtId="204" fontId="11" fillId="161" borderId="0" xfId="0" applyNumberFormat="1" applyFont="1" applyFill="1" applyBorder="1" applyAlignment="1">
      <x:alignment vertical="top" wrapText="1"/>
    </x:xf>
    <x:xf numFmtId="0" fontId="11" fillId="167" borderId="0" xfId="0" applyNumberFormat="1" applyFont="1" applyFill="1" applyBorder="1" applyAlignment="1">
      <x:alignment vertical="top" wrapText="1"/>
    </x:xf>
    <x:xf numFmtId="204" fontId="11" fillId="167" borderId="0" xfId="0" applyNumberFormat="1" applyFont="1" applyFill="1" applyBorder="1" applyAlignment="1">
      <x:alignment vertical="top" wrapText="1"/>
    </x:xf>
    <x:xf numFmtId="0" fontId="11" fillId="167" borderId="0" xfId="0" applyNumberFormat="1" applyFont="1" applyFill="1" applyBorder="1" applyAlignment="1">
      <x:alignment horizontal="center" vertical="top" wrapText="1"/>
    </x:xf>
    <x:xf numFmtId="0" fontId="0" fillId="167" borderId="0" xfId="0" applyNumberFormat="1" applyFont="1" applyFill="1" applyBorder="1"/>
    <x:xf numFmtId="204" fontId="0" fillId="167" borderId="0" xfId="0" applyNumberFormat="1" applyFont="1" applyFill="1" applyBorder="1"/>
    <x:xf numFmtId="0" fontId="0" fillId="161" borderId="0" xfId="0" applyNumberFormat="1" applyFont="1" applyFill="1" applyBorder="1"/>
    <x:xf numFmtId="204" fontId="0" fillId="161" borderId="0" xfId="0" applyNumberFormat="1" applyFont="1" applyFill="1" applyBorder="1"/>
    <x:xf numFmtId="0" fontId="0" fillId="167" borderId="0" xfId="0" applyNumberFormat="1" applyFont="1" applyFill="1" applyBorder="1" applyAlignment="1">
      <x:alignment wrapText="1"/>
    </x:xf>
    <x:xf numFmtId="204" fontId="0" fillId="167" borderId="0" xfId="0" applyNumberFormat="1" applyFont="1" applyFill="1" applyBorder="1" applyAlignment="1">
      <x:alignment wrapText="1"/>
    </x:xf>
    <x:xf numFmtId="0" fontId="0" fillId="161" borderId="0" xfId="0" applyNumberFormat="1" applyFont="1" applyFill="1" applyBorder="1" applyAlignment="1">
      <x:alignment wrapText="1"/>
    </x:xf>
    <x:xf numFmtId="204" fontId="0" fillId="161" borderId="0" xfId="0" applyNumberFormat="1" applyFont="1" applyFill="1" applyBorder="1" applyAlignment="1">
      <x:alignment wrapText="1"/>
    </x:xf>
    <x:xf numFmtId="0" fontId="0" fillId="167" borderId="0" xfId="0" applyNumberFormat="1" applyFont="1" applyFill="1" applyBorder="1" applyAlignment="1">
      <x:alignment vertical="top" wrapText="1"/>
    </x:xf>
    <x:xf numFmtId="204" fontId="0" fillId="167" borderId="0" xfId="0" applyNumberFormat="1" applyFont="1" applyFill="1" applyBorder="1" applyAlignment="1">
      <x:alignment vertical="top" wrapText="1"/>
    </x:xf>
    <x:xf numFmtId="0" fontId="0" fillId="161" borderId="0" xfId="0" applyNumberFormat="1" applyFont="1" applyFill="1" applyBorder="1" applyAlignment="1">
      <x:alignment vertical="top" wrapText="1"/>
    </x:xf>
    <x:xf numFmtId="204" fontId="0" fillId="161" borderId="0" xfId="0" applyNumberFormat="1" applyFont="1" applyFill="1" applyBorder="1" applyAlignment="1">
      <x:alignment vertical="top" wrapText="1"/>
    </x:xf>
    <x:xf numFmtId="0" fontId="1" fillId="163" borderId="0" xfId="0" applyNumberFormat="1" applyFont="1" applyFill="1" applyBorder="1" applyAlignment="1">
      <x:alignment vertical="center"/>
    </x:xf>
    <x:xf numFmtId="0" fontId="13" fillId="160" borderId="0" xfId="0" applyNumberFormat="1" applyFont="1" applyFill="1" applyBorder="1" applyAlignment="1">
      <x:alignment vertical="center" wrapText="1"/>
    </x:xf>
    <x:xf numFmtId="0" fontId="3" fillId="159" borderId="0" xfId="0" applyNumberFormat="1" applyFont="1" applyFill="1" applyBorder="1" applyAlignment="1">
      <x:alignment horizontal="center" vertical="center" wrapText="1"/>
    </x:xf>
    <x:xf numFmtId="204" fontId="11" fillId="167" borderId="0" xfId="0" applyNumberFormat="1" applyFont="1" applyFill="1" applyBorder="1" applyAlignment="1">
      <x:alignment horizontal="center" vertical="top" wrapText="1"/>
    </x:xf>
    <x:xf numFmtId="204" fontId="11" fillId="161" borderId="0" xfId="0" applyNumberFormat="1" applyFont="1" applyFill="1" applyBorder="1" applyAlignment="1">
      <x:alignment horizontal="center" vertical="top" wrapText="1"/>
    </x:xf>
    <x:xf numFmtId="0" fontId="20" fillId="168" borderId="10" xfId="0" applyNumberFormat="1" applyFont="1" applyFill="1" applyBorder="1" applyAlignment="1">
      <x:alignment vertical="top" wrapText="1"/>
    </x:xf>
    <x:xf numFmtId="0" fontId="20" fillId="168" borderId="10" xfId="0" applyNumberFormat="1" applyFont="1" applyFill="1" applyBorder="1"/>
    <x:xf numFmtId="0" fontId="20" fillId="168" borderId="10" xfId="0" applyNumberFormat="1" applyFont="1" applyFill="1" applyBorder="1" applyAlignment="1">
      <x:alignment wrapText="1"/>
    </x:xf>
    <x:xf numFmtId="0" fontId="20" fillId="168" borderId="10" xfId="0" applyNumberFormat="1" applyFont="1" applyFill="1" applyBorder="1" applyAlignment="1">
      <x:alignment vertical="center" wrapText="1"/>
    </x:xf>
    <x:xf numFmtId="0" fontId="33" fillId="168" borderId="10" xfId="0" applyNumberFormat="1" applyFont="1" applyFill="1" applyBorder="1" applyAlignment="1">
      <x:alignment vertical="top" wrapText="1"/>
    </x:xf>
    <x:xf numFmtId="0" fontId="33" fillId="168" borderId="10" xfId="0" applyNumberFormat="1" applyFont="1" applyFill="1" applyBorder="1"/>
    <x:xf numFmtId="0" fontId="33" fillId="168" borderId="10" xfId="0" applyNumberFormat="1" applyFont="1" applyFill="1" applyBorder="1" applyAlignment="1">
      <x:alignment wrapText="1"/>
    </x:xf>
    <x:xf numFmtId="0" fontId="33" fillId="168" borderId="10" xfId="0" applyNumberFormat="1" applyFont="1" applyFill="1" applyBorder="1" applyAlignment="1">
      <x:alignment vertical="center" wrapText="1"/>
    </x:xf>
    <x:xf numFmtId="0" fontId="3" fillId="169" borderId="1" xfId="0" applyNumberFormat="1" applyFont="1" applyFill="1" applyBorder="1" applyAlignment="1">
      <x:alignment horizontal="center" vertical="center" wrapText="1"/>
    </x:xf>
    <x:xf numFmtId="0" fontId="10" fillId="170" borderId="15" xfId="0" applyNumberFormat="1" applyFont="1" applyFill="1" applyBorder="1" applyAlignment="1">
      <x:alignment horizontal="center" vertical="top" wrapText="1"/>
    </x:xf>
    <x:xf numFmtId="0" fontId="11" fillId="170" borderId="16" xfId="0" applyNumberFormat="1" applyFont="1" applyFill="1" applyBorder="1" applyAlignment="1">
      <x:alignment horizontal="center" vertical="top" wrapText="1"/>
    </x:xf>
    <x:xf numFmtId="201" fontId="11" fillId="170" borderId="16" xfId="0" applyNumberFormat="1" applyFont="1" applyFill="1" applyBorder="1" applyAlignment="1">
      <x:alignment horizontal="center" vertical="top" wrapText="1"/>
    </x:xf>
    <x:xf numFmtId="0" fontId="11" fillId="170" borderId="16" xfId="0" applyNumberFormat="1" applyFont="1" applyFill="1" applyBorder="1" applyAlignment="1">
      <x:alignment vertical="top" wrapText="1"/>
    </x:xf>
    <x:xf numFmtId="0" fontId="11" fillId="170" borderId="17" xfId="0" applyNumberFormat="1" applyFont="1" applyFill="1" applyBorder="1" applyAlignment="1">
      <x:alignment vertical="top" wrapText="1"/>
    </x:xf>
    <x:xf numFmtId="0" fontId="11" fillId="171" borderId="18" xfId="0" applyNumberFormat="1" applyFont="1" applyFill="1" applyBorder="1" applyAlignment="1">
      <x:alignment horizontal="center" vertical="top" wrapText="1"/>
    </x:xf>
    <x:xf numFmtId="0" fontId="11" fillId="171" borderId="19" xfId="0" applyNumberFormat="1" applyFont="1" applyFill="1" applyBorder="1" applyAlignment="1">
      <x:alignment horizontal="center" vertical="top" wrapText="1"/>
    </x:xf>
    <x:xf numFmtId="201" fontId="11" fillId="171" borderId="19" xfId="0" applyNumberFormat="1" applyFont="1" applyFill="1" applyBorder="1" applyAlignment="1">
      <x:alignment horizontal="center" vertical="top" wrapText="1"/>
    </x:xf>
    <x:xf numFmtId="0" fontId="11" fillId="171" borderId="19" xfId="0" applyNumberFormat="1" applyFont="1" applyFill="1" applyBorder="1" applyAlignment="1">
      <x:alignment vertical="top" wrapText="1"/>
    </x:xf>
    <x:xf numFmtId="0" fontId="11" fillId="171" borderId="20" xfId="0" applyNumberFormat="1" applyFont="1" applyFill="1" applyBorder="1" applyAlignment="1">
      <x:alignment vertical="top" wrapText="1"/>
    </x:xf>
    <x:xf numFmtId="0" fontId="10" fillId="170" borderId="18" xfId="0" applyNumberFormat="1" applyFont="1" applyFill="1" applyBorder="1" applyAlignment="1">
      <x:alignment horizontal="center" vertical="top" wrapText="1"/>
    </x:xf>
    <x:xf numFmtId="0" fontId="11" fillId="170" borderId="19" xfId="0" applyNumberFormat="1" applyFont="1" applyFill="1" applyBorder="1" applyAlignment="1">
      <x:alignment horizontal="center" vertical="top" wrapText="1"/>
    </x:xf>
    <x:xf numFmtId="201" fontId="11" fillId="170" borderId="19" xfId="0" applyNumberFormat="1" applyFont="1" applyFill="1" applyBorder="1" applyAlignment="1">
      <x:alignment horizontal="center" vertical="top" wrapText="1"/>
    </x:xf>
    <x:xf numFmtId="0" fontId="11" fillId="170" borderId="19" xfId="0" applyNumberFormat="1" applyFont="1" applyFill="1" applyBorder="1" applyAlignment="1">
      <x:alignment vertical="top" wrapText="1"/>
    </x:xf>
    <x:xf numFmtId="0" fontId="11" fillId="170" borderId="20" xfId="0" applyNumberFormat="1" applyFont="1" applyFill="1" applyBorder="1" applyAlignment="1">
      <x:alignment vertical="top" wrapText="1"/>
    </x:xf>
    <x:xf numFmtId="0" fontId="10" fillId="171" borderId="18" xfId="0" applyNumberFormat="1" applyFont="1" applyFill="1" applyBorder="1" applyAlignment="1">
      <x:alignment horizontal="center" vertical="top" wrapText="1"/>
    </x:xf>
    <x:xf numFmtId="0" fontId="11" fillId="170" borderId="18" xfId="0" applyNumberFormat="1" applyFont="1" applyFill="1" applyBorder="1" applyAlignment="1">
      <x:alignment horizontal="center" vertical="top" wrapText="1"/>
    </x:xf>
    <x:xf numFmtId="0" fontId="11" fillId="171" borderId="21" xfId="0" applyNumberFormat="1" applyFont="1" applyFill="1" applyBorder="1" applyAlignment="1">
      <x:alignment horizontal="center" vertical="top" wrapText="1"/>
    </x:xf>
    <x:xf numFmtId="0" fontId="11" fillId="171" borderId="22" xfId="0" applyNumberFormat="1" applyFont="1" applyFill="1" applyBorder="1" applyAlignment="1">
      <x:alignment horizontal="center" vertical="top" wrapText="1"/>
    </x:xf>
    <x:xf numFmtId="201" fontId="11" fillId="171" borderId="22" xfId="0" applyNumberFormat="1" applyFont="1" applyFill="1" applyBorder="1" applyAlignment="1">
      <x:alignment horizontal="center" vertical="top" wrapText="1"/>
    </x:xf>
    <x:xf numFmtId="0" fontId="11" fillId="171" borderId="22" xfId="0" applyNumberFormat="1" applyFont="1" applyFill="1" applyBorder="1" applyAlignment="1">
      <x:alignment vertical="top" wrapText="1"/>
    </x:xf>
    <x:xf numFmtId="0" fontId="11" fillId="171" borderId="23" xfId="0" applyNumberFormat="1" applyFont="1" applyFill="1" applyBorder="1" applyAlignment="1">
      <x:alignment vertical="top" wrapText="1"/>
    </x:xf>
    <x:xf numFmtId="0" fontId="11" fillId="170" borderId="0" xfId="0" applyNumberFormat="1" applyFont="1" applyFill="1" applyBorder="1" applyAlignment="1">
      <x:alignment horizontal="center" vertical="top" wrapText="1"/>
    </x:xf>
    <x:xf numFmtId="201" fontId="11" fillId="170" borderId="0" xfId="0" applyNumberFormat="1" applyFont="1" applyFill="1" applyBorder="1" applyAlignment="1">
      <x:alignment horizontal="center" vertical="top" wrapText="1"/>
    </x:xf>
    <x:xf numFmtId="0" fontId="11" fillId="170" borderId="0" xfId="0" applyNumberFormat="1" applyFont="1" applyFill="1" applyBorder="1" applyAlignment="1">
      <x:alignment vertical="top" wrapText="1"/>
    </x:xf>
    <x:xf numFmtId="0" fontId="11" fillId="171" borderId="0" xfId="0" applyNumberFormat="1" applyFont="1" applyFill="1" applyBorder="1" applyAlignment="1">
      <x:alignment horizontal="center" vertical="top" wrapText="1"/>
    </x:xf>
    <x:xf numFmtId="201" fontId="11" fillId="171" borderId="0" xfId="0" applyNumberFormat="1" applyFont="1" applyFill="1" applyBorder="1" applyAlignment="1">
      <x:alignment horizontal="center" vertical="top" wrapText="1"/>
    </x:xf>
    <x:xf numFmtId="0" fontId="11" fillId="171" borderId="0" xfId="0" applyNumberFormat="1" applyFont="1" applyFill="1" applyBorder="1" applyAlignment="1">
      <x:alignment vertical="top" wrapText="1"/>
    </x:xf>
    <x:xf numFmtId="0" fontId="11" fillId="170" borderId="15" xfId="0" applyNumberFormat="1" applyFont="1" applyFill="1" applyBorder="1" applyAlignment="1">
      <x:alignment horizontal="center" vertical="top" wrapText="1"/>
    </x:xf>
    <x:xf numFmtId="0" fontId="11" fillId="172" borderId="15" xfId="0" applyNumberFormat="1" applyFont="1" applyFill="1" applyBorder="1" applyAlignment="1">
      <x:alignment horizontal="center" vertical="top" wrapText="1"/>
    </x:xf>
    <x:xf numFmtId="0" fontId="11" fillId="172" borderId="16" xfId="0" applyNumberFormat="1" applyFont="1" applyFill="1" applyBorder="1" applyAlignment="1">
      <x:alignment horizontal="center" vertical="top" wrapText="1"/>
    </x:xf>
    <x:xf numFmtId="0" fontId="11" fillId="172" borderId="16" xfId="0" applyNumberFormat="1" applyFont="1" applyFill="1" applyBorder="1" applyAlignment="1">
      <x:alignment vertical="top" wrapText="1"/>
    </x:xf>
    <x:xf numFmtId="0" fontId="11" fillId="172" borderId="17" xfId="0" applyNumberFormat="1" applyFont="1" applyFill="1" applyBorder="1" applyAlignment="1">
      <x:alignment vertical="top" wrapText="1"/>
    </x:xf>
    <x:xf numFmtId="0" fontId="11" fillId="172" borderId="18" xfId="0" applyNumberFormat="1" applyFont="1" applyFill="1" applyBorder="1" applyAlignment="1">
      <x:alignment horizontal="center" vertical="top" wrapText="1"/>
    </x:xf>
    <x:xf numFmtId="0" fontId="11" fillId="172" borderId="19" xfId="0" applyNumberFormat="1" applyFont="1" applyFill="1" applyBorder="1" applyAlignment="1">
      <x:alignment horizontal="center" vertical="top" wrapText="1"/>
    </x:xf>
    <x:xf numFmtId="0" fontId="11" fillId="172" borderId="19" xfId="0" applyNumberFormat="1" applyFont="1" applyFill="1" applyBorder="1" applyAlignment="1">
      <x:alignment vertical="top" wrapText="1"/>
    </x:xf>
    <x:xf numFmtId="0" fontId="11" fillId="172" borderId="20" xfId="0" applyNumberFormat="1" applyFont="1" applyFill="1" applyBorder="1" applyAlignment="1">
      <x:alignment vertical="top" wrapText="1"/>
    </x:xf>
    <x:xf numFmtId="0" fontId="11" fillId="172" borderId="0" xfId="0" applyNumberFormat="1" applyFont="1" applyFill="1" applyBorder="1" applyAlignment="1">
      <x:alignment horizontal="center" vertical="top" wrapText="1"/>
    </x:xf>
    <x:xf numFmtId="0" fontId="11" fillId="172" borderId="0" xfId="0" applyNumberFormat="1" applyFont="1" applyFill="1" applyBorder="1" applyAlignment="1">
      <x:alignment vertical="top" wrapText="1"/>
    </x:xf>
    <x:xf numFmtId="200" fontId="11" fillId="170" borderId="16" xfId="0" applyNumberFormat="1" applyFont="1" applyFill="1" applyBorder="1" applyAlignment="1">
      <x:alignment horizontal="center" vertical="top" wrapText="1"/>
    </x:xf>
    <x:xf numFmtId="200" fontId="11" fillId="171" borderId="19" xfId="0" applyNumberFormat="1" applyFont="1" applyFill="1" applyBorder="1" applyAlignment="1">
      <x:alignment horizontal="center" vertical="top" wrapText="1"/>
    </x:xf>
    <x:xf numFmtId="200" fontId="11" fillId="170" borderId="19" xfId="0" applyNumberFormat="1" applyFont="1" applyFill="1" applyBorder="1" applyAlignment="1">
      <x:alignment horizontal="center" vertical="top" wrapText="1"/>
    </x:xf>
    <x:xf numFmtId="0" fontId="1" fillId="173" borderId="0" xfId="0" applyNumberFormat="1" applyFont="1" applyFill="1" applyBorder="1" applyAlignment="1">
      <x:alignment horizontal="left" vertical="center"/>
    </x:xf>
    <x:xf numFmtId="0" fontId="14" fillId="170" borderId="11" xfId="0" applyNumberFormat="1" applyFont="1" applyFill="1" applyBorder="1" applyAlignment="1">
      <x:alignment vertical="center" wrapText="1"/>
    </x:xf>
    <x:xf numFmtId="202" fontId="13" fillId="170" borderId="11" xfId="0" applyNumberFormat="1" applyFont="1" applyFill="1" applyBorder="1" applyAlignment="1">
      <x:alignment vertical="center" wrapText="1"/>
    </x:xf>
    <x:xf numFmtId="0" fontId="13" fillId="170" borderId="11" xfId="0" applyNumberFormat="1" applyFont="1" applyFill="1" applyBorder="1" applyAlignment="1">
      <x:alignment vertical="center" wrapText="1"/>
    </x:xf>
    <x:xf numFmtId="0" fontId="15" fillId="174" borderId="0" xfId="0" applyNumberFormat="1" applyFont="1" applyFill="1" applyBorder="1" applyAlignment="1">
      <x:alignment vertical="center" wrapText="1"/>
    </x:xf>
    <x:xf numFmtId="0" fontId="16" fillId="170" borderId="11" xfId="0" applyNumberFormat="1" applyFont="1" applyFill="1" applyBorder="1" applyAlignment="1">
      <x:alignment horizontal="center" vertical="center"/>
    </x:xf>
    <x:xf numFmtId="0" fontId="16" fillId="171" borderId="11" xfId="0" applyNumberFormat="1" applyFont="1" applyFill="1" applyBorder="1" applyAlignment="1">
      <x:alignment horizontal="center" vertical="center"/>
    </x:xf>
    <x:xf numFmtId="203" fontId="16" fillId="171" borderId="11" xfId="0" applyNumberFormat="1" applyFont="1" applyFill="1" applyBorder="1" applyAlignment="1">
      <x:alignment horizontal="center" vertical="center"/>
    </x:xf>
    <x:xf numFmtId="0" fontId="17" fillId="175" borderId="12" xfId="0" applyNumberFormat="1" applyFont="1" applyFill="1" applyBorder="1" applyAlignment="1">
      <x:alignment vertical="center" wrapText="1"/>
    </x:xf>
    <x:xf numFmtId="0" fontId="18" fillId="176" borderId="13" xfId="0" applyNumberFormat="1" applyFont="1" applyFill="1" applyBorder="1" applyAlignment="1">
      <x:alignment horizontal="center" vertical="center" wrapText="1"/>
    </x:xf>
    <x:xf numFmtId="0" fontId="11" fillId="177" borderId="14" xfId="0" applyNumberFormat="1" applyFont="1" applyFill="1" applyBorder="1" applyAlignment="1">
      <x:alignment vertical="top" wrapText="1"/>
    </x:xf>
    <x:xf numFmtId="204" fontId="11" fillId="177" borderId="14" xfId="0" applyNumberFormat="1" applyFont="1" applyFill="1" applyBorder="1" applyAlignment="1">
      <x:alignment vertical="top" wrapText="1"/>
    </x:xf>
    <x:xf numFmtId="0" fontId="11" fillId="177" borderId="14" xfId="0" applyNumberFormat="1" applyFont="1" applyFill="1" applyBorder="1" applyAlignment="1">
      <x:alignment horizontal="center" vertical="top" wrapText="1"/>
    </x:xf>
    <x:xf numFmtId="0" fontId="11" fillId="171" borderId="14" xfId="0" applyNumberFormat="1" applyFont="1" applyFill="1" applyBorder="1" applyAlignment="1">
      <x:alignment vertical="top" wrapText="1"/>
    </x:xf>
    <x:xf numFmtId="204" fontId="11" fillId="171" borderId="14" xfId="0" applyNumberFormat="1" applyFont="1" applyFill="1" applyBorder="1" applyAlignment="1">
      <x:alignment vertical="top" wrapText="1"/>
    </x:xf>
    <x:xf numFmtId="0" fontId="11" fillId="171" borderId="14" xfId="0" applyNumberFormat="1" applyFont="1" applyFill="1" applyBorder="1" applyAlignment="1">
      <x:alignment horizontal="center" vertical="top" wrapText="1"/>
    </x:xf>
    <x:xf numFmtId="204" fontId="11" fillId="171" borderId="0" xfId="0" applyNumberFormat="1" applyFont="1" applyFill="1" applyBorder="1" applyAlignment="1">
      <x:alignment vertical="top" wrapText="1"/>
    </x:xf>
    <x:xf numFmtId="0" fontId="11" fillId="177" borderId="0" xfId="0" applyNumberFormat="1" applyFont="1" applyFill="1" applyBorder="1" applyAlignment="1">
      <x:alignment vertical="top" wrapText="1"/>
    </x:xf>
    <x:xf numFmtId="204" fontId="11" fillId="177" borderId="0" xfId="0" applyNumberFormat="1" applyFont="1" applyFill="1" applyBorder="1" applyAlignment="1">
      <x:alignment vertical="top" wrapText="1"/>
    </x:xf>
    <x:xf numFmtId="0" fontId="11" fillId="177" borderId="0" xfId="0" applyNumberFormat="1" applyFont="1" applyFill="1" applyBorder="1" applyAlignment="1">
      <x:alignment horizontal="center" vertical="top" wrapText="1"/>
    </x:xf>
    <x:xf numFmtId="0" fontId="1" fillId="173" borderId="0" xfId="0" applyNumberFormat="1" applyFont="1" applyFill="1" applyBorder="1" applyAlignment="1">
      <x:alignment vertical="center"/>
    </x:xf>
    <x:xf numFmtId="0" fontId="13" fillId="170" borderId="0" xfId="0" applyNumberFormat="1" applyFont="1" applyFill="1" applyBorder="1" applyAlignment="1">
      <x:alignment vertical="center" wrapText="1"/>
    </x:xf>
    <x:xf numFmtId="0" fontId="3" fillId="169" borderId="0" xfId="0" applyNumberFormat="1" applyFont="1" applyFill="1" applyBorder="1" applyAlignment="1">
      <x:alignment horizontal="center" vertical="center" wrapText="1"/>
    </x:xf>
    <x:xf numFmtId="204" fontId="11" fillId="177" borderId="0" xfId="0" applyNumberFormat="1" applyFont="1" applyFill="1" applyBorder="1" applyAlignment="1">
      <x:alignment horizontal="center" vertical="top" wrapText="1"/>
    </x:xf>
    <x:xf numFmtId="204" fontId="11" fillId="171" borderId="0" xfId="0" applyNumberFormat="1" applyFont="1" applyFill="1" applyBorder="1" applyAlignment="1">
      <x:alignment horizontal="center" vertical="top" wrapText="1"/>
    </x:xf>
    <x:xf numFmtId="0" fontId="20" fillId="178" borderId="10" xfId="0" applyNumberFormat="1" applyFont="1" applyFill="1" applyBorder="1" applyAlignment="1">
      <x:alignment vertical="top" wrapText="1"/>
    </x:xf>
    <x:xf numFmtId="0" fontId="20" fillId="178" borderId="10" xfId="0" applyNumberFormat="1" applyFont="1" applyFill="1" applyBorder="1"/>
    <x:xf numFmtId="0" fontId="20" fillId="178" borderId="10" xfId="0" applyNumberFormat="1" applyFont="1" applyFill="1" applyBorder="1" applyAlignment="1">
      <x:alignment wrapText="1"/>
    </x:xf>
    <x:xf numFmtId="0" fontId="20" fillId="178" borderId="10" xfId="0" applyNumberFormat="1" applyFont="1" applyFill="1" applyBorder="1" applyAlignment="1">
      <x:alignment vertical="center" wrapText="1"/>
    </x:xf>
    <x:xf numFmtId="0" fontId="34" fillId="178" borderId="10" xfId="0" applyNumberFormat="1" applyFont="1" applyFill="1" applyBorder="1" applyAlignment="1">
      <x:alignment vertical="top" wrapText="1"/>
    </x:xf>
    <x:xf numFmtId="0" fontId="34" fillId="178" borderId="10" xfId="0" applyNumberFormat="1" applyFont="1" applyFill="1" applyBorder="1"/>
    <x:xf numFmtId="0" fontId="34" fillId="178" borderId="10" xfId="0" applyNumberFormat="1" applyFont="1" applyFill="1" applyBorder="1" applyAlignment="1">
      <x:alignment wrapText="1"/>
    </x:xf>
    <x:xf numFmtId="0" fontId="34" fillId="178" borderId="10" xfId="0" applyNumberFormat="1" applyFont="1" applyFill="1" applyBorder="1" applyAlignment="1">
      <x:alignment vertical="center" wrapText="1"/>
    </x:xf>
    <x:xf numFmtId="0" fontId="3" fillId="179" borderId="1" xfId="0" applyNumberFormat="1" applyFont="1" applyFill="1" applyBorder="1" applyAlignment="1">
      <x:alignment horizontal="center" vertical="center" wrapText="1"/>
    </x:xf>
    <x:xf numFmtId="0" fontId="10" fillId="180" borderId="15" xfId="0" applyNumberFormat="1" applyFont="1" applyFill="1" applyBorder="1" applyAlignment="1">
      <x:alignment horizontal="center" vertical="top" wrapText="1"/>
    </x:xf>
    <x:xf numFmtId="0" fontId="11" fillId="180" borderId="16" xfId="0" applyNumberFormat="1" applyFont="1" applyFill="1" applyBorder="1" applyAlignment="1">
      <x:alignment horizontal="center" vertical="top" wrapText="1"/>
    </x:xf>
    <x:xf numFmtId="201" fontId="11" fillId="180" borderId="16" xfId="0" applyNumberFormat="1" applyFont="1" applyFill="1" applyBorder="1" applyAlignment="1">
      <x:alignment horizontal="center" vertical="top" wrapText="1"/>
    </x:xf>
    <x:xf numFmtId="0" fontId="11" fillId="180" borderId="16" xfId="0" applyNumberFormat="1" applyFont="1" applyFill="1" applyBorder="1" applyAlignment="1">
      <x:alignment vertical="top" wrapText="1"/>
    </x:xf>
    <x:xf numFmtId="0" fontId="11" fillId="180" borderId="17" xfId="0" applyNumberFormat="1" applyFont="1" applyFill="1" applyBorder="1" applyAlignment="1">
      <x:alignment vertical="top" wrapText="1"/>
    </x:xf>
    <x:xf numFmtId="0" fontId="11" fillId="181" borderId="18" xfId="0" applyNumberFormat="1" applyFont="1" applyFill="1" applyBorder="1" applyAlignment="1">
      <x:alignment horizontal="center" vertical="top" wrapText="1"/>
    </x:xf>
    <x:xf numFmtId="0" fontId="11" fillId="181" borderId="19" xfId="0" applyNumberFormat="1" applyFont="1" applyFill="1" applyBorder="1" applyAlignment="1">
      <x:alignment horizontal="center" vertical="top" wrapText="1"/>
    </x:xf>
    <x:xf numFmtId="201" fontId="11" fillId="181" borderId="19" xfId="0" applyNumberFormat="1" applyFont="1" applyFill="1" applyBorder="1" applyAlignment="1">
      <x:alignment horizontal="center" vertical="top" wrapText="1"/>
    </x:xf>
    <x:xf numFmtId="0" fontId="11" fillId="181" borderId="19" xfId="0" applyNumberFormat="1" applyFont="1" applyFill="1" applyBorder="1" applyAlignment="1">
      <x:alignment vertical="top" wrapText="1"/>
    </x:xf>
    <x:xf numFmtId="0" fontId="11" fillId="181" borderId="20" xfId="0" applyNumberFormat="1" applyFont="1" applyFill="1" applyBorder="1" applyAlignment="1">
      <x:alignment vertical="top" wrapText="1"/>
    </x:xf>
    <x:xf numFmtId="0" fontId="10" fillId="180" borderId="18" xfId="0" applyNumberFormat="1" applyFont="1" applyFill="1" applyBorder="1" applyAlignment="1">
      <x:alignment horizontal="center" vertical="top" wrapText="1"/>
    </x:xf>
    <x:xf numFmtId="0" fontId="11" fillId="180" borderId="19" xfId="0" applyNumberFormat="1" applyFont="1" applyFill="1" applyBorder="1" applyAlignment="1">
      <x:alignment horizontal="center" vertical="top" wrapText="1"/>
    </x:xf>
    <x:xf numFmtId="201" fontId="11" fillId="180" borderId="19" xfId="0" applyNumberFormat="1" applyFont="1" applyFill="1" applyBorder="1" applyAlignment="1">
      <x:alignment horizontal="center" vertical="top" wrapText="1"/>
    </x:xf>
    <x:xf numFmtId="0" fontId="11" fillId="180" borderId="19" xfId="0" applyNumberFormat="1" applyFont="1" applyFill="1" applyBorder="1" applyAlignment="1">
      <x:alignment vertical="top" wrapText="1"/>
    </x:xf>
    <x:xf numFmtId="0" fontId="11" fillId="180" borderId="20" xfId="0" applyNumberFormat="1" applyFont="1" applyFill="1" applyBorder="1" applyAlignment="1">
      <x:alignment vertical="top" wrapText="1"/>
    </x:xf>
    <x:xf numFmtId="0" fontId="10" fillId="181" borderId="18" xfId="0" applyNumberFormat="1" applyFont="1" applyFill="1" applyBorder="1" applyAlignment="1">
      <x:alignment horizontal="center" vertical="top" wrapText="1"/>
    </x:xf>
    <x:xf numFmtId="0" fontId="11" fillId="180" borderId="18" xfId="0" applyNumberFormat="1" applyFont="1" applyFill="1" applyBorder="1" applyAlignment="1">
      <x:alignment horizontal="center" vertical="top" wrapText="1"/>
    </x:xf>
    <x:xf numFmtId="0" fontId="11" fillId="181" borderId="21" xfId="0" applyNumberFormat="1" applyFont="1" applyFill="1" applyBorder="1" applyAlignment="1">
      <x:alignment horizontal="center" vertical="top" wrapText="1"/>
    </x:xf>
    <x:xf numFmtId="0" fontId="11" fillId="181" borderId="22" xfId="0" applyNumberFormat="1" applyFont="1" applyFill="1" applyBorder="1" applyAlignment="1">
      <x:alignment horizontal="center" vertical="top" wrapText="1"/>
    </x:xf>
    <x:xf numFmtId="201" fontId="11" fillId="181" borderId="22" xfId="0" applyNumberFormat="1" applyFont="1" applyFill="1" applyBorder="1" applyAlignment="1">
      <x:alignment horizontal="center" vertical="top" wrapText="1"/>
    </x:xf>
    <x:xf numFmtId="0" fontId="11" fillId="181" borderId="22" xfId="0" applyNumberFormat="1" applyFont="1" applyFill="1" applyBorder="1" applyAlignment="1">
      <x:alignment vertical="top" wrapText="1"/>
    </x:xf>
    <x:xf numFmtId="0" fontId="11" fillId="181" borderId="23" xfId="0" applyNumberFormat="1" applyFont="1" applyFill="1" applyBorder="1" applyAlignment="1">
      <x:alignment vertical="top" wrapText="1"/>
    </x:xf>
    <x:xf numFmtId="0" fontId="11" fillId="180" borderId="0" xfId="0" applyNumberFormat="1" applyFont="1" applyFill="1" applyBorder="1" applyAlignment="1">
      <x:alignment horizontal="center" vertical="top" wrapText="1"/>
    </x:xf>
    <x:xf numFmtId="201" fontId="11" fillId="180" borderId="0" xfId="0" applyNumberFormat="1" applyFont="1" applyFill="1" applyBorder="1" applyAlignment="1">
      <x:alignment horizontal="center" vertical="top" wrapText="1"/>
    </x:xf>
    <x:xf numFmtId="0" fontId="11" fillId="180" borderId="0" xfId="0" applyNumberFormat="1" applyFont="1" applyFill="1" applyBorder="1" applyAlignment="1">
      <x:alignment vertical="top" wrapText="1"/>
    </x:xf>
    <x:xf numFmtId="0" fontId="11" fillId="181" borderId="0" xfId="0" applyNumberFormat="1" applyFont="1" applyFill="1" applyBorder="1" applyAlignment="1">
      <x:alignment horizontal="center" vertical="top" wrapText="1"/>
    </x:xf>
    <x:xf numFmtId="201" fontId="11" fillId="181" borderId="0" xfId="0" applyNumberFormat="1" applyFont="1" applyFill="1" applyBorder="1" applyAlignment="1">
      <x:alignment horizontal="center" vertical="top" wrapText="1"/>
    </x:xf>
    <x:xf numFmtId="0" fontId="11" fillId="181" borderId="0" xfId="0" applyNumberFormat="1" applyFont="1" applyFill="1" applyBorder="1" applyAlignment="1">
      <x:alignment vertical="top" wrapText="1"/>
    </x:xf>
    <x:xf numFmtId="0" fontId="11" fillId="180" borderId="15" xfId="0" applyNumberFormat="1" applyFont="1" applyFill="1" applyBorder="1" applyAlignment="1">
      <x:alignment horizontal="center" vertical="top" wrapText="1"/>
    </x:xf>
    <x:xf numFmtId="0" fontId="11" fillId="182" borderId="15" xfId="0" applyNumberFormat="1" applyFont="1" applyFill="1" applyBorder="1" applyAlignment="1">
      <x:alignment horizontal="center" vertical="top" wrapText="1"/>
    </x:xf>
    <x:xf numFmtId="0" fontId="11" fillId="182" borderId="16" xfId="0" applyNumberFormat="1" applyFont="1" applyFill="1" applyBorder="1" applyAlignment="1">
      <x:alignment horizontal="center" vertical="top" wrapText="1"/>
    </x:xf>
    <x:xf numFmtId="0" fontId="11" fillId="182" borderId="16" xfId="0" applyNumberFormat="1" applyFont="1" applyFill="1" applyBorder="1" applyAlignment="1">
      <x:alignment vertical="top" wrapText="1"/>
    </x:xf>
    <x:xf numFmtId="0" fontId="11" fillId="182" borderId="17" xfId="0" applyNumberFormat="1" applyFont="1" applyFill="1" applyBorder="1" applyAlignment="1">
      <x:alignment vertical="top" wrapText="1"/>
    </x:xf>
    <x:xf numFmtId="0" fontId="11" fillId="182" borderId="18" xfId="0" applyNumberFormat="1" applyFont="1" applyFill="1" applyBorder="1" applyAlignment="1">
      <x:alignment horizontal="center" vertical="top" wrapText="1"/>
    </x:xf>
    <x:xf numFmtId="0" fontId="11" fillId="182" borderId="19" xfId="0" applyNumberFormat="1" applyFont="1" applyFill="1" applyBorder="1" applyAlignment="1">
      <x:alignment horizontal="center" vertical="top" wrapText="1"/>
    </x:xf>
    <x:xf numFmtId="0" fontId="11" fillId="182" borderId="19" xfId="0" applyNumberFormat="1" applyFont="1" applyFill="1" applyBorder="1" applyAlignment="1">
      <x:alignment vertical="top" wrapText="1"/>
    </x:xf>
    <x:xf numFmtId="0" fontId="11" fillId="182" borderId="20" xfId="0" applyNumberFormat="1" applyFont="1" applyFill="1" applyBorder="1" applyAlignment="1">
      <x:alignment vertical="top" wrapText="1"/>
    </x:xf>
    <x:xf numFmtId="0" fontId="11" fillId="182" borderId="0" xfId="0" applyNumberFormat="1" applyFont="1" applyFill="1" applyBorder="1" applyAlignment="1">
      <x:alignment horizontal="center" vertical="top" wrapText="1"/>
    </x:xf>
    <x:xf numFmtId="0" fontId="11" fillId="182" borderId="0" xfId="0" applyNumberFormat="1" applyFont="1" applyFill="1" applyBorder="1" applyAlignment="1">
      <x:alignment vertical="top" wrapText="1"/>
    </x:xf>
    <x:xf numFmtId="200" fontId="11" fillId="180" borderId="16" xfId="0" applyNumberFormat="1" applyFont="1" applyFill="1" applyBorder="1" applyAlignment="1">
      <x:alignment horizontal="center" vertical="top" wrapText="1"/>
    </x:xf>
    <x:xf numFmtId="200" fontId="11" fillId="181" borderId="19" xfId="0" applyNumberFormat="1" applyFont="1" applyFill="1" applyBorder="1" applyAlignment="1">
      <x:alignment horizontal="center" vertical="top" wrapText="1"/>
    </x:xf>
    <x:xf numFmtId="200" fontId="11" fillId="180" borderId="19" xfId="0" applyNumberFormat="1" applyFont="1" applyFill="1" applyBorder="1" applyAlignment="1">
      <x:alignment horizontal="center" vertical="top" wrapText="1"/>
    </x:xf>
    <x:xf numFmtId="0" fontId="1" fillId="183" borderId="0" xfId="0" applyNumberFormat="1" applyFont="1" applyFill="1" applyBorder="1" applyAlignment="1">
      <x:alignment horizontal="left" vertical="center"/>
    </x:xf>
    <x:xf numFmtId="0" fontId="14" fillId="180" borderId="11" xfId="0" applyNumberFormat="1" applyFont="1" applyFill="1" applyBorder="1" applyAlignment="1">
      <x:alignment vertical="center" wrapText="1"/>
    </x:xf>
    <x:xf numFmtId="202" fontId="13" fillId="180" borderId="11" xfId="0" applyNumberFormat="1" applyFont="1" applyFill="1" applyBorder="1" applyAlignment="1">
      <x:alignment vertical="center" wrapText="1"/>
    </x:xf>
    <x:xf numFmtId="0" fontId="13" fillId="180" borderId="11" xfId="0" applyNumberFormat="1" applyFont="1" applyFill="1" applyBorder="1" applyAlignment="1">
      <x:alignment vertical="center" wrapText="1"/>
    </x:xf>
    <x:xf numFmtId="0" fontId="15" fillId="184" borderId="0" xfId="0" applyNumberFormat="1" applyFont="1" applyFill="1" applyBorder="1" applyAlignment="1">
      <x:alignment vertical="center" wrapText="1"/>
    </x:xf>
    <x:xf numFmtId="0" fontId="16" fillId="180" borderId="11" xfId="0" applyNumberFormat="1" applyFont="1" applyFill="1" applyBorder="1" applyAlignment="1">
      <x:alignment horizontal="center" vertical="center"/>
    </x:xf>
    <x:xf numFmtId="0" fontId="16" fillId="181" borderId="11" xfId="0" applyNumberFormat="1" applyFont="1" applyFill="1" applyBorder="1" applyAlignment="1">
      <x:alignment horizontal="center" vertical="center"/>
    </x:xf>
    <x:xf numFmtId="203" fontId="16" fillId="181" borderId="11" xfId="0" applyNumberFormat="1" applyFont="1" applyFill="1" applyBorder="1" applyAlignment="1">
      <x:alignment horizontal="center" vertical="center"/>
    </x:xf>
    <x:xf numFmtId="0" fontId="17" fillId="185" borderId="12" xfId="0" applyNumberFormat="1" applyFont="1" applyFill="1" applyBorder="1" applyAlignment="1">
      <x:alignment vertical="center" wrapText="1"/>
    </x:xf>
    <x:xf numFmtId="0" fontId="18" fillId="186" borderId="13" xfId="0" applyNumberFormat="1" applyFont="1" applyFill="1" applyBorder="1" applyAlignment="1">
      <x:alignment horizontal="center" vertical="center" wrapText="1"/>
    </x:xf>
    <x:xf numFmtId="0" fontId="11" fillId="187" borderId="14" xfId="0" applyNumberFormat="1" applyFont="1" applyFill="1" applyBorder="1" applyAlignment="1">
      <x:alignment vertical="top" wrapText="1"/>
    </x:xf>
    <x:xf numFmtId="204" fontId="11" fillId="187" borderId="14" xfId="0" applyNumberFormat="1" applyFont="1" applyFill="1" applyBorder="1" applyAlignment="1">
      <x:alignment vertical="top" wrapText="1"/>
    </x:xf>
    <x:xf numFmtId="0" fontId="11" fillId="187" borderId="14" xfId="0" applyNumberFormat="1" applyFont="1" applyFill="1" applyBorder="1" applyAlignment="1">
      <x:alignment horizontal="center" vertical="top" wrapText="1"/>
    </x:xf>
    <x:xf numFmtId="0" fontId="11" fillId="181" borderId="14" xfId="0" applyNumberFormat="1" applyFont="1" applyFill="1" applyBorder="1" applyAlignment="1">
      <x:alignment vertical="top" wrapText="1"/>
    </x:xf>
    <x:xf numFmtId="204" fontId="11" fillId="181" borderId="14" xfId="0" applyNumberFormat="1" applyFont="1" applyFill="1" applyBorder="1" applyAlignment="1">
      <x:alignment vertical="top" wrapText="1"/>
    </x:xf>
    <x:xf numFmtId="0" fontId="11" fillId="181" borderId="14" xfId="0" applyNumberFormat="1" applyFont="1" applyFill="1" applyBorder="1" applyAlignment="1">
      <x:alignment horizontal="center" vertical="top" wrapText="1"/>
    </x:xf>
    <x:xf numFmtId="204" fontId="11" fillId="181" borderId="0" xfId="0" applyNumberFormat="1" applyFont="1" applyFill="1" applyBorder="1" applyAlignment="1">
      <x:alignment vertical="top" wrapText="1"/>
    </x:xf>
    <x:xf numFmtId="0" fontId="11" fillId="187" borderId="0" xfId="0" applyNumberFormat="1" applyFont="1" applyFill="1" applyBorder="1" applyAlignment="1">
      <x:alignment vertical="top" wrapText="1"/>
    </x:xf>
    <x:xf numFmtId="204" fontId="11" fillId="187" borderId="0" xfId="0" applyNumberFormat="1" applyFont="1" applyFill="1" applyBorder="1" applyAlignment="1">
      <x:alignment vertical="top" wrapText="1"/>
    </x:xf>
    <x:xf numFmtId="0" fontId="11" fillId="187" borderId="0" xfId="0" applyNumberFormat="1" applyFont="1" applyFill="1" applyBorder="1" applyAlignment="1">
      <x:alignment horizontal="center" vertical="top" wrapText="1"/>
    </x:xf>
    <x:xf numFmtId="0" fontId="0" fillId="187" borderId="0" xfId="0" applyNumberFormat="1" applyFont="1" applyFill="1" applyBorder="1"/>
    <x:xf numFmtId="204" fontId="0" fillId="187" borderId="0" xfId="0" applyNumberFormat="1" applyFont="1" applyFill="1" applyBorder="1"/>
    <x:xf numFmtId="0" fontId="0" fillId="181" borderId="0" xfId="0" applyNumberFormat="1" applyFont="1" applyFill="1" applyBorder="1"/>
    <x:xf numFmtId="204" fontId="0" fillId="181" borderId="0" xfId="0" applyNumberFormat="1" applyFont="1" applyFill="1" applyBorder="1"/>
    <x:xf numFmtId="0" fontId="0" fillId="187" borderId="0" xfId="0" applyNumberFormat="1" applyFont="1" applyFill="1" applyBorder="1" applyAlignment="1">
      <x:alignment wrapText="1"/>
    </x:xf>
    <x:xf numFmtId="204" fontId="0" fillId="187" borderId="0" xfId="0" applyNumberFormat="1" applyFont="1" applyFill="1" applyBorder="1" applyAlignment="1">
      <x:alignment wrapText="1"/>
    </x:xf>
    <x:xf numFmtId="0" fontId="0" fillId="181" borderId="0" xfId="0" applyNumberFormat="1" applyFont="1" applyFill="1" applyBorder="1" applyAlignment="1">
      <x:alignment wrapText="1"/>
    </x:xf>
    <x:xf numFmtId="204" fontId="0" fillId="181" borderId="0" xfId="0" applyNumberFormat="1" applyFont="1" applyFill="1" applyBorder="1" applyAlignment="1">
      <x:alignment wrapText="1"/>
    </x:xf>
    <x:xf numFmtId="0" fontId="0" fillId="187" borderId="0" xfId="0" applyNumberFormat="1" applyFont="1" applyFill="1" applyBorder="1" applyAlignment="1">
      <x:alignment vertical="top" wrapText="1"/>
    </x:xf>
    <x:xf numFmtId="204" fontId="0" fillId="187" borderId="0" xfId="0" applyNumberFormat="1" applyFont="1" applyFill="1" applyBorder="1" applyAlignment="1">
      <x:alignment vertical="top" wrapText="1"/>
    </x:xf>
    <x:xf numFmtId="0" fontId="0" fillId="181" borderId="0" xfId="0" applyNumberFormat="1" applyFont="1" applyFill="1" applyBorder="1" applyAlignment="1">
      <x:alignment vertical="top" wrapText="1"/>
    </x:xf>
    <x:xf numFmtId="204" fontId="0" fillId="181" borderId="0" xfId="0" applyNumberFormat="1" applyFont="1" applyFill="1" applyBorder="1" applyAlignment="1">
      <x:alignment vertical="top" wrapText="1"/>
    </x:xf>
    <x:xf numFmtId="0" fontId="1" fillId="183" borderId="0" xfId="0" applyNumberFormat="1" applyFont="1" applyFill="1" applyBorder="1" applyAlignment="1">
      <x:alignment vertical="center"/>
    </x:xf>
    <x:xf numFmtId="0" fontId="13" fillId="180" borderId="0" xfId="0" applyNumberFormat="1" applyFont="1" applyFill="1" applyBorder="1" applyAlignment="1">
      <x:alignment vertical="center" wrapText="1"/>
    </x:xf>
    <x:xf numFmtId="0" fontId="3" fillId="179" borderId="0" xfId="0" applyNumberFormat="1" applyFont="1" applyFill="1" applyBorder="1" applyAlignment="1">
      <x:alignment horizontal="center" vertical="center" wrapText="1"/>
    </x:xf>
    <x:xf numFmtId="204" fontId="11" fillId="187" borderId="0" xfId="0" applyNumberFormat="1" applyFont="1" applyFill="1" applyBorder="1" applyAlignment="1">
      <x:alignment horizontal="center" vertical="top" wrapText="1"/>
    </x:xf>
    <x:xf numFmtId="204" fontId="11" fillId="181" borderId="0" xfId="0" applyNumberFormat="1" applyFont="1" applyFill="1" applyBorder="1" applyAlignment="1">
      <x:alignment horizontal="center" vertical="top" wrapText="1"/>
    </x:xf>
    <x:xf numFmtId="0" fontId="20" fillId="188" borderId="10" xfId="0" applyNumberFormat="1" applyFont="1" applyFill="1" applyBorder="1" applyAlignment="1">
      <x:alignment vertical="top" wrapText="1"/>
    </x:xf>
    <x:xf numFmtId="0" fontId="20" fillId="188" borderId="10" xfId="0" applyNumberFormat="1" applyFont="1" applyFill="1" applyBorder="1"/>
    <x:xf numFmtId="0" fontId="20" fillId="188" borderId="10" xfId="0" applyNumberFormat="1" applyFont="1" applyFill="1" applyBorder="1" applyAlignment="1">
      <x:alignment wrapText="1"/>
    </x:xf>
    <x:xf numFmtId="0" fontId="20" fillId="188" borderId="10" xfId="0" applyNumberFormat="1" applyFont="1" applyFill="1" applyBorder="1" applyAlignment="1">
      <x:alignment vertical="center" wrapText="1"/>
    </x:xf>
    <x:xf numFmtId="0" fontId="35" fillId="188" borderId="10" xfId="0" applyNumberFormat="1" applyFont="1" applyFill="1" applyBorder="1" applyAlignment="1">
      <x:alignment vertical="top" wrapText="1"/>
    </x:xf>
    <x:xf numFmtId="0" fontId="35" fillId="188" borderId="10" xfId="0" applyNumberFormat="1" applyFont="1" applyFill="1" applyBorder="1"/>
    <x:xf numFmtId="0" fontId="35" fillId="188" borderId="10" xfId="0" applyNumberFormat="1" applyFont="1" applyFill="1" applyBorder="1" applyAlignment="1">
      <x:alignment wrapText="1"/>
    </x:xf>
    <x:xf numFmtId="0" fontId="35" fillId="188" borderId="10" xfId="0" applyNumberFormat="1" applyFont="1" applyFill="1" applyBorder="1" applyAlignment="1">
      <x:alignment vertical="center" wrapText="1"/>
    </x:xf>
    <x:xf numFmtId="0" fontId="3" fillId="189" borderId="1" xfId="0" applyNumberFormat="1" applyFont="1" applyFill="1" applyBorder="1" applyAlignment="1">
      <x:alignment horizontal="center" vertical="center" wrapText="1"/>
    </x:xf>
    <x:xf numFmtId="0" fontId="10" fillId="190" borderId="15" xfId="0" applyNumberFormat="1" applyFont="1" applyFill="1" applyBorder="1" applyAlignment="1">
      <x:alignment horizontal="center" vertical="top" wrapText="1"/>
    </x:xf>
    <x:xf numFmtId="0" fontId="11" fillId="190" borderId="16" xfId="0" applyNumberFormat="1" applyFont="1" applyFill="1" applyBorder="1" applyAlignment="1">
      <x:alignment horizontal="center" vertical="top" wrapText="1"/>
    </x:xf>
    <x:xf numFmtId="201" fontId="11" fillId="190" borderId="16" xfId="0" applyNumberFormat="1" applyFont="1" applyFill="1" applyBorder="1" applyAlignment="1">
      <x:alignment horizontal="center" vertical="top" wrapText="1"/>
    </x:xf>
    <x:xf numFmtId="0" fontId="11" fillId="190" borderId="16" xfId="0" applyNumberFormat="1" applyFont="1" applyFill="1" applyBorder="1" applyAlignment="1">
      <x:alignment vertical="top" wrapText="1"/>
    </x:xf>
    <x:xf numFmtId="0" fontId="11" fillId="190" borderId="17" xfId="0" applyNumberFormat="1" applyFont="1" applyFill="1" applyBorder="1" applyAlignment="1">
      <x:alignment vertical="top" wrapText="1"/>
    </x:xf>
    <x:xf numFmtId="0" fontId="11" fillId="191" borderId="18" xfId="0" applyNumberFormat="1" applyFont="1" applyFill="1" applyBorder="1" applyAlignment="1">
      <x:alignment horizontal="center" vertical="top" wrapText="1"/>
    </x:xf>
    <x:xf numFmtId="0" fontId="11" fillId="191" borderId="19" xfId="0" applyNumberFormat="1" applyFont="1" applyFill="1" applyBorder="1" applyAlignment="1">
      <x:alignment horizontal="center" vertical="top" wrapText="1"/>
    </x:xf>
    <x:xf numFmtId="201" fontId="11" fillId="191" borderId="19" xfId="0" applyNumberFormat="1" applyFont="1" applyFill="1" applyBorder="1" applyAlignment="1">
      <x:alignment horizontal="center" vertical="top" wrapText="1"/>
    </x:xf>
    <x:xf numFmtId="0" fontId="11" fillId="191" borderId="19" xfId="0" applyNumberFormat="1" applyFont="1" applyFill="1" applyBorder="1" applyAlignment="1">
      <x:alignment vertical="top" wrapText="1"/>
    </x:xf>
    <x:xf numFmtId="0" fontId="11" fillId="191" borderId="20" xfId="0" applyNumberFormat="1" applyFont="1" applyFill="1" applyBorder="1" applyAlignment="1">
      <x:alignment vertical="top" wrapText="1"/>
    </x:xf>
    <x:xf numFmtId="0" fontId="10" fillId="190" borderId="18" xfId="0" applyNumberFormat="1" applyFont="1" applyFill="1" applyBorder="1" applyAlignment="1">
      <x:alignment horizontal="center" vertical="top" wrapText="1"/>
    </x:xf>
    <x:xf numFmtId="0" fontId="11" fillId="190" borderId="19" xfId="0" applyNumberFormat="1" applyFont="1" applyFill="1" applyBorder="1" applyAlignment="1">
      <x:alignment horizontal="center" vertical="top" wrapText="1"/>
    </x:xf>
    <x:xf numFmtId="201" fontId="11" fillId="190" borderId="19" xfId="0" applyNumberFormat="1" applyFont="1" applyFill="1" applyBorder="1" applyAlignment="1">
      <x:alignment horizontal="center" vertical="top" wrapText="1"/>
    </x:xf>
    <x:xf numFmtId="0" fontId="11" fillId="190" borderId="19" xfId="0" applyNumberFormat="1" applyFont="1" applyFill="1" applyBorder="1" applyAlignment="1">
      <x:alignment vertical="top" wrapText="1"/>
    </x:xf>
    <x:xf numFmtId="0" fontId="11" fillId="190" borderId="20" xfId="0" applyNumberFormat="1" applyFont="1" applyFill="1" applyBorder="1" applyAlignment="1">
      <x:alignment vertical="top" wrapText="1"/>
    </x:xf>
    <x:xf numFmtId="0" fontId="10" fillId="191" borderId="18" xfId="0" applyNumberFormat="1" applyFont="1" applyFill="1" applyBorder="1" applyAlignment="1">
      <x:alignment horizontal="center" vertical="top" wrapText="1"/>
    </x:xf>
    <x:xf numFmtId="0" fontId="11" fillId="190" borderId="18" xfId="0" applyNumberFormat="1" applyFont="1" applyFill="1" applyBorder="1" applyAlignment="1">
      <x:alignment horizontal="center" vertical="top" wrapText="1"/>
    </x:xf>
    <x:xf numFmtId="0" fontId="11" fillId="191" borderId="21" xfId="0" applyNumberFormat="1" applyFont="1" applyFill="1" applyBorder="1" applyAlignment="1">
      <x:alignment horizontal="center" vertical="top" wrapText="1"/>
    </x:xf>
    <x:xf numFmtId="0" fontId="11" fillId="191" borderId="22" xfId="0" applyNumberFormat="1" applyFont="1" applyFill="1" applyBorder="1" applyAlignment="1">
      <x:alignment horizontal="center" vertical="top" wrapText="1"/>
    </x:xf>
    <x:xf numFmtId="201" fontId="11" fillId="191" borderId="22" xfId="0" applyNumberFormat="1" applyFont="1" applyFill="1" applyBorder="1" applyAlignment="1">
      <x:alignment horizontal="center" vertical="top" wrapText="1"/>
    </x:xf>
    <x:xf numFmtId="0" fontId="11" fillId="191" borderId="22" xfId="0" applyNumberFormat="1" applyFont="1" applyFill="1" applyBorder="1" applyAlignment="1">
      <x:alignment vertical="top" wrapText="1"/>
    </x:xf>
    <x:xf numFmtId="0" fontId="11" fillId="191" borderId="23" xfId="0" applyNumberFormat="1" applyFont="1" applyFill="1" applyBorder="1" applyAlignment="1">
      <x:alignment vertical="top" wrapText="1"/>
    </x:xf>
    <x:xf numFmtId="0" fontId="11" fillId="190" borderId="0" xfId="0" applyNumberFormat="1" applyFont="1" applyFill="1" applyBorder="1" applyAlignment="1">
      <x:alignment horizontal="center" vertical="top" wrapText="1"/>
    </x:xf>
    <x:xf numFmtId="201" fontId="11" fillId="190" borderId="0" xfId="0" applyNumberFormat="1" applyFont="1" applyFill="1" applyBorder="1" applyAlignment="1">
      <x:alignment horizontal="center" vertical="top" wrapText="1"/>
    </x:xf>
    <x:xf numFmtId="0" fontId="11" fillId="190" borderId="0" xfId="0" applyNumberFormat="1" applyFont="1" applyFill="1" applyBorder="1" applyAlignment="1">
      <x:alignment vertical="top" wrapText="1"/>
    </x:xf>
    <x:xf numFmtId="0" fontId="11" fillId="191" borderId="0" xfId="0" applyNumberFormat="1" applyFont="1" applyFill="1" applyBorder="1" applyAlignment="1">
      <x:alignment horizontal="center" vertical="top" wrapText="1"/>
    </x:xf>
    <x:xf numFmtId="201" fontId="11" fillId="191" borderId="0" xfId="0" applyNumberFormat="1" applyFont="1" applyFill="1" applyBorder="1" applyAlignment="1">
      <x:alignment horizontal="center" vertical="top" wrapText="1"/>
    </x:xf>
    <x:xf numFmtId="0" fontId="11" fillId="191" borderId="0" xfId="0" applyNumberFormat="1" applyFont="1" applyFill="1" applyBorder="1" applyAlignment="1">
      <x:alignment vertical="top" wrapText="1"/>
    </x:xf>
    <x:xf numFmtId="0" fontId="11" fillId="190" borderId="15" xfId="0" applyNumberFormat="1" applyFont="1" applyFill="1" applyBorder="1" applyAlignment="1">
      <x:alignment horizontal="center" vertical="top" wrapText="1"/>
    </x:xf>
    <x:xf numFmtId="0" fontId="11" fillId="192" borderId="15" xfId="0" applyNumberFormat="1" applyFont="1" applyFill="1" applyBorder="1" applyAlignment="1">
      <x:alignment horizontal="center" vertical="top" wrapText="1"/>
    </x:xf>
    <x:xf numFmtId="0" fontId="11" fillId="192" borderId="16" xfId="0" applyNumberFormat="1" applyFont="1" applyFill="1" applyBorder="1" applyAlignment="1">
      <x:alignment horizontal="center" vertical="top" wrapText="1"/>
    </x:xf>
    <x:xf numFmtId="0" fontId="11" fillId="192" borderId="16" xfId="0" applyNumberFormat="1" applyFont="1" applyFill="1" applyBorder="1" applyAlignment="1">
      <x:alignment vertical="top" wrapText="1"/>
    </x:xf>
    <x:xf numFmtId="0" fontId="11" fillId="192" borderId="17" xfId="0" applyNumberFormat="1" applyFont="1" applyFill="1" applyBorder="1" applyAlignment="1">
      <x:alignment vertical="top" wrapText="1"/>
    </x:xf>
    <x:xf numFmtId="0" fontId="11" fillId="192" borderId="18" xfId="0" applyNumberFormat="1" applyFont="1" applyFill="1" applyBorder="1" applyAlignment="1">
      <x:alignment horizontal="center" vertical="top" wrapText="1"/>
    </x:xf>
    <x:xf numFmtId="0" fontId="11" fillId="192" borderId="19" xfId="0" applyNumberFormat="1" applyFont="1" applyFill="1" applyBorder="1" applyAlignment="1">
      <x:alignment horizontal="center" vertical="top" wrapText="1"/>
    </x:xf>
    <x:xf numFmtId="0" fontId="11" fillId="192" borderId="19" xfId="0" applyNumberFormat="1" applyFont="1" applyFill="1" applyBorder="1" applyAlignment="1">
      <x:alignment vertical="top" wrapText="1"/>
    </x:xf>
    <x:xf numFmtId="0" fontId="11" fillId="192" borderId="20" xfId="0" applyNumberFormat="1" applyFont="1" applyFill="1" applyBorder="1" applyAlignment="1">
      <x:alignment vertical="top" wrapText="1"/>
    </x:xf>
    <x:xf numFmtId="0" fontId="11" fillId="192" borderId="0" xfId="0" applyNumberFormat="1" applyFont="1" applyFill="1" applyBorder="1" applyAlignment="1">
      <x:alignment horizontal="center" vertical="top" wrapText="1"/>
    </x:xf>
    <x:xf numFmtId="0" fontId="11" fillId="192" borderId="0" xfId="0" applyNumberFormat="1" applyFont="1" applyFill="1" applyBorder="1" applyAlignment="1">
      <x:alignment vertical="top" wrapText="1"/>
    </x:xf>
    <x:xf numFmtId="200" fontId="11" fillId="190" borderId="16" xfId="0" applyNumberFormat="1" applyFont="1" applyFill="1" applyBorder="1" applyAlignment="1">
      <x:alignment horizontal="center" vertical="top" wrapText="1"/>
    </x:xf>
    <x:xf numFmtId="200" fontId="11" fillId="191" borderId="19" xfId="0" applyNumberFormat="1" applyFont="1" applyFill="1" applyBorder="1" applyAlignment="1">
      <x:alignment horizontal="center" vertical="top" wrapText="1"/>
    </x:xf>
    <x:xf numFmtId="200" fontId="11" fillId="190" borderId="19" xfId="0" applyNumberFormat="1" applyFont="1" applyFill="1" applyBorder="1" applyAlignment="1">
      <x:alignment horizontal="center" vertical="top" wrapText="1"/>
    </x:xf>
    <x:xf numFmtId="0" fontId="1" fillId="193" borderId="0" xfId="0" applyNumberFormat="1" applyFont="1" applyFill="1" applyBorder="1" applyAlignment="1">
      <x:alignment horizontal="left" vertical="center"/>
    </x:xf>
    <x:xf numFmtId="0" fontId="14" fillId="190" borderId="11" xfId="0" applyNumberFormat="1" applyFont="1" applyFill="1" applyBorder="1" applyAlignment="1">
      <x:alignment vertical="center" wrapText="1"/>
    </x:xf>
    <x:xf numFmtId="202" fontId="13" fillId="190" borderId="11" xfId="0" applyNumberFormat="1" applyFont="1" applyFill="1" applyBorder="1" applyAlignment="1">
      <x:alignment vertical="center" wrapText="1"/>
    </x:xf>
    <x:xf numFmtId="0" fontId="13" fillId="190" borderId="11" xfId="0" applyNumberFormat="1" applyFont="1" applyFill="1" applyBorder="1" applyAlignment="1">
      <x:alignment vertical="center" wrapText="1"/>
    </x:xf>
    <x:xf numFmtId="0" fontId="15" fillId="194" borderId="0" xfId="0" applyNumberFormat="1" applyFont="1" applyFill="1" applyBorder="1" applyAlignment="1">
      <x:alignment vertical="center" wrapText="1"/>
    </x:xf>
    <x:xf numFmtId="0" fontId="16" fillId="190" borderId="11" xfId="0" applyNumberFormat="1" applyFont="1" applyFill="1" applyBorder="1" applyAlignment="1">
      <x:alignment horizontal="center" vertical="center"/>
    </x:xf>
    <x:xf numFmtId="0" fontId="16" fillId="191" borderId="11" xfId="0" applyNumberFormat="1" applyFont="1" applyFill="1" applyBorder="1" applyAlignment="1">
      <x:alignment horizontal="center" vertical="center"/>
    </x:xf>
    <x:xf numFmtId="203" fontId="16" fillId="191" borderId="11" xfId="0" applyNumberFormat="1" applyFont="1" applyFill="1" applyBorder="1" applyAlignment="1">
      <x:alignment horizontal="center" vertical="center"/>
    </x:xf>
    <x:xf numFmtId="0" fontId="17" fillId="195" borderId="12" xfId="0" applyNumberFormat="1" applyFont="1" applyFill="1" applyBorder="1" applyAlignment="1">
      <x:alignment vertical="center" wrapText="1"/>
    </x:xf>
    <x:xf numFmtId="0" fontId="18" fillId="196" borderId="13" xfId="0" applyNumberFormat="1" applyFont="1" applyFill="1" applyBorder="1" applyAlignment="1">
      <x:alignment horizontal="center" vertical="center" wrapText="1"/>
    </x:xf>
    <x:xf numFmtId="0" fontId="11" fillId="197" borderId="14" xfId="0" applyNumberFormat="1" applyFont="1" applyFill="1" applyBorder="1" applyAlignment="1">
      <x:alignment vertical="top" wrapText="1"/>
    </x:xf>
    <x:xf numFmtId="204" fontId="11" fillId="197" borderId="14" xfId="0" applyNumberFormat="1" applyFont="1" applyFill="1" applyBorder="1" applyAlignment="1">
      <x:alignment vertical="top" wrapText="1"/>
    </x:xf>
    <x:xf numFmtId="0" fontId="11" fillId="197" borderId="14" xfId="0" applyNumberFormat="1" applyFont="1" applyFill="1" applyBorder="1" applyAlignment="1">
      <x:alignment horizontal="center" vertical="top" wrapText="1"/>
    </x:xf>
    <x:xf numFmtId="0" fontId="11" fillId="191" borderId="14" xfId="0" applyNumberFormat="1" applyFont="1" applyFill="1" applyBorder="1" applyAlignment="1">
      <x:alignment vertical="top" wrapText="1"/>
    </x:xf>
    <x:xf numFmtId="204" fontId="11" fillId="191" borderId="14" xfId="0" applyNumberFormat="1" applyFont="1" applyFill="1" applyBorder="1" applyAlignment="1">
      <x:alignment vertical="top" wrapText="1"/>
    </x:xf>
    <x:xf numFmtId="0" fontId="11" fillId="191" borderId="14" xfId="0" applyNumberFormat="1" applyFont="1" applyFill="1" applyBorder="1" applyAlignment="1">
      <x:alignment horizontal="center" vertical="top" wrapText="1"/>
    </x:xf>
    <x:xf numFmtId="204" fontId="11" fillId="191" borderId="0" xfId="0" applyNumberFormat="1" applyFont="1" applyFill="1" applyBorder="1" applyAlignment="1">
      <x:alignment vertical="top" wrapText="1"/>
    </x:xf>
    <x:xf numFmtId="0" fontId="11" fillId="197" borderId="0" xfId="0" applyNumberFormat="1" applyFont="1" applyFill="1" applyBorder="1" applyAlignment="1">
      <x:alignment vertical="top" wrapText="1"/>
    </x:xf>
    <x:xf numFmtId="204" fontId="11" fillId="197" borderId="0" xfId="0" applyNumberFormat="1" applyFont="1" applyFill="1" applyBorder="1" applyAlignment="1">
      <x:alignment vertical="top" wrapText="1"/>
    </x:xf>
    <x:xf numFmtId="0" fontId="11" fillId="197" borderId="0" xfId="0" applyNumberFormat="1" applyFont="1" applyFill="1" applyBorder="1" applyAlignment="1">
      <x:alignment horizontal="center" vertical="top" wrapText="1"/>
    </x:xf>
    <x:xf numFmtId="0" fontId="1" fillId="193" borderId="0" xfId="0" applyNumberFormat="1" applyFont="1" applyFill="1" applyBorder="1" applyAlignment="1">
      <x:alignment vertical="center"/>
    </x:xf>
    <x:xf numFmtId="0" fontId="13" fillId="190" borderId="0" xfId="0" applyNumberFormat="1" applyFont="1" applyFill="1" applyBorder="1" applyAlignment="1">
      <x:alignment vertical="center" wrapText="1"/>
    </x:xf>
    <x:xf numFmtId="0" fontId="3" fillId="189" borderId="0" xfId="0" applyNumberFormat="1" applyFont="1" applyFill="1" applyBorder="1" applyAlignment="1">
      <x:alignment horizontal="center" vertical="center" wrapText="1"/>
    </x:xf>
    <x:xf numFmtId="204" fontId="11" fillId="197" borderId="0" xfId="0" applyNumberFormat="1" applyFont="1" applyFill="1" applyBorder="1" applyAlignment="1">
      <x:alignment horizontal="center" vertical="top" wrapText="1"/>
    </x:xf>
    <x:xf numFmtId="204" fontId="11" fillId="191" borderId="0" xfId="0" applyNumberFormat="1" applyFont="1" applyFill="1" applyBorder="1" applyAlignment="1">
      <x:alignment horizontal="center" vertical="top" wrapText="1"/>
    </x:xf>
    <x:xf numFmtId="0" fontId="20" fillId="198" borderId="10" xfId="0" applyNumberFormat="1" applyFont="1" applyFill="1" applyBorder="1" applyAlignment="1">
      <x:alignment vertical="top" wrapText="1"/>
    </x:xf>
    <x:xf numFmtId="0" fontId="20" fillId="198" borderId="10" xfId="0" applyNumberFormat="1" applyFont="1" applyFill="1" applyBorder="1"/>
    <x:xf numFmtId="0" fontId="20" fillId="198" borderId="10" xfId="0" applyNumberFormat="1" applyFont="1" applyFill="1" applyBorder="1" applyAlignment="1">
      <x:alignment wrapText="1"/>
    </x:xf>
    <x:xf numFmtId="0" fontId="20" fillId="198" borderId="10" xfId="0" applyNumberFormat="1" applyFont="1" applyFill="1" applyBorder="1" applyAlignment="1">
      <x:alignment vertical="center" wrapText="1"/>
    </x:xf>
    <x:xf numFmtId="0" fontId="36" fillId="198" borderId="10" xfId="0" applyNumberFormat="1" applyFont="1" applyFill="1" applyBorder="1" applyAlignment="1">
      <x:alignment vertical="top" wrapText="1"/>
    </x:xf>
    <x:xf numFmtId="0" fontId="36" fillId="198" borderId="10" xfId="0" applyNumberFormat="1" applyFont="1" applyFill="1" applyBorder="1"/>
    <x:xf numFmtId="0" fontId="36" fillId="198" borderId="10" xfId="0" applyNumberFormat="1" applyFont="1" applyFill="1" applyBorder="1" applyAlignment="1">
      <x:alignment wrapText="1"/>
    </x:xf>
    <x:xf numFmtId="0" fontId="36" fillId="198" borderId="10" xfId="0" applyNumberFormat="1" applyFont="1" applyFill="1" applyBorder="1" applyAlignment="1">
      <x:alignment vertical="center" wrapText="1"/>
    </x:xf>
    <x:xf numFmtId="0" fontId="3" fillId="199" borderId="1" xfId="0" applyNumberFormat="1" applyFont="1" applyFill="1" applyBorder="1" applyAlignment="1">
      <x:alignment horizontal="center" vertical="center" wrapText="1"/>
    </x:xf>
    <x:xf numFmtId="0" fontId="10" fillId="200" borderId="15" xfId="0" applyNumberFormat="1" applyFont="1" applyFill="1" applyBorder="1" applyAlignment="1">
      <x:alignment horizontal="center" vertical="top" wrapText="1"/>
    </x:xf>
    <x:xf numFmtId="0" fontId="11" fillId="200" borderId="16" xfId="0" applyNumberFormat="1" applyFont="1" applyFill="1" applyBorder="1" applyAlignment="1">
      <x:alignment horizontal="center" vertical="top" wrapText="1"/>
    </x:xf>
    <x:xf numFmtId="201" fontId="11" fillId="200" borderId="16" xfId="0" applyNumberFormat="1" applyFont="1" applyFill="1" applyBorder="1" applyAlignment="1">
      <x:alignment horizontal="center" vertical="top" wrapText="1"/>
    </x:xf>
    <x:xf numFmtId="0" fontId="11" fillId="200" borderId="16" xfId="0" applyNumberFormat="1" applyFont="1" applyFill="1" applyBorder="1" applyAlignment="1">
      <x:alignment vertical="top" wrapText="1"/>
    </x:xf>
    <x:xf numFmtId="0" fontId="11" fillId="200" borderId="17" xfId="0" applyNumberFormat="1" applyFont="1" applyFill="1" applyBorder="1" applyAlignment="1">
      <x:alignment vertical="top" wrapText="1"/>
    </x:xf>
    <x:xf numFmtId="0" fontId="11" fillId="201" borderId="18" xfId="0" applyNumberFormat="1" applyFont="1" applyFill="1" applyBorder="1" applyAlignment="1">
      <x:alignment horizontal="center" vertical="top" wrapText="1"/>
    </x:xf>
    <x:xf numFmtId="0" fontId="11" fillId="201" borderId="19" xfId="0" applyNumberFormat="1" applyFont="1" applyFill="1" applyBorder="1" applyAlignment="1">
      <x:alignment horizontal="center" vertical="top" wrapText="1"/>
    </x:xf>
    <x:xf numFmtId="201" fontId="11" fillId="201" borderId="19" xfId="0" applyNumberFormat="1" applyFont="1" applyFill="1" applyBorder="1" applyAlignment="1">
      <x:alignment horizontal="center" vertical="top" wrapText="1"/>
    </x:xf>
    <x:xf numFmtId="0" fontId="11" fillId="201" borderId="19" xfId="0" applyNumberFormat="1" applyFont="1" applyFill="1" applyBorder="1" applyAlignment="1">
      <x:alignment vertical="top" wrapText="1"/>
    </x:xf>
    <x:xf numFmtId="0" fontId="11" fillId="201" borderId="20" xfId="0" applyNumberFormat="1" applyFont="1" applyFill="1" applyBorder="1" applyAlignment="1">
      <x:alignment vertical="top" wrapText="1"/>
    </x:xf>
    <x:xf numFmtId="0" fontId="10" fillId="200" borderId="18" xfId="0" applyNumberFormat="1" applyFont="1" applyFill="1" applyBorder="1" applyAlignment="1">
      <x:alignment horizontal="center" vertical="top" wrapText="1"/>
    </x:xf>
    <x:xf numFmtId="0" fontId="11" fillId="200" borderId="19" xfId="0" applyNumberFormat="1" applyFont="1" applyFill="1" applyBorder="1" applyAlignment="1">
      <x:alignment horizontal="center" vertical="top" wrapText="1"/>
    </x:xf>
    <x:xf numFmtId="201" fontId="11" fillId="200" borderId="19" xfId="0" applyNumberFormat="1" applyFont="1" applyFill="1" applyBorder="1" applyAlignment="1">
      <x:alignment horizontal="center" vertical="top" wrapText="1"/>
    </x:xf>
    <x:xf numFmtId="0" fontId="11" fillId="200" borderId="19" xfId="0" applyNumberFormat="1" applyFont="1" applyFill="1" applyBorder="1" applyAlignment="1">
      <x:alignment vertical="top" wrapText="1"/>
    </x:xf>
    <x:xf numFmtId="0" fontId="11" fillId="200" borderId="20" xfId="0" applyNumberFormat="1" applyFont="1" applyFill="1" applyBorder="1" applyAlignment="1">
      <x:alignment vertical="top" wrapText="1"/>
    </x:xf>
    <x:xf numFmtId="0" fontId="10" fillId="201" borderId="18" xfId="0" applyNumberFormat="1" applyFont="1" applyFill="1" applyBorder="1" applyAlignment="1">
      <x:alignment horizontal="center" vertical="top" wrapText="1"/>
    </x:xf>
    <x:xf numFmtId="0" fontId="11" fillId="200" borderId="18" xfId="0" applyNumberFormat="1" applyFont="1" applyFill="1" applyBorder="1" applyAlignment="1">
      <x:alignment horizontal="center" vertical="top" wrapText="1"/>
    </x:xf>
    <x:xf numFmtId="0" fontId="11" fillId="201" borderId="21" xfId="0" applyNumberFormat="1" applyFont="1" applyFill="1" applyBorder="1" applyAlignment="1">
      <x:alignment horizontal="center" vertical="top" wrapText="1"/>
    </x:xf>
    <x:xf numFmtId="0" fontId="11" fillId="201" borderId="22" xfId="0" applyNumberFormat="1" applyFont="1" applyFill="1" applyBorder="1" applyAlignment="1">
      <x:alignment horizontal="center" vertical="top" wrapText="1"/>
    </x:xf>
    <x:xf numFmtId="201" fontId="11" fillId="201" borderId="22" xfId="0" applyNumberFormat="1" applyFont="1" applyFill="1" applyBorder="1" applyAlignment="1">
      <x:alignment horizontal="center" vertical="top" wrapText="1"/>
    </x:xf>
    <x:xf numFmtId="0" fontId="11" fillId="201" borderId="22" xfId="0" applyNumberFormat="1" applyFont="1" applyFill="1" applyBorder="1" applyAlignment="1">
      <x:alignment vertical="top" wrapText="1"/>
    </x:xf>
    <x:xf numFmtId="0" fontId="11" fillId="201" borderId="23" xfId="0" applyNumberFormat="1" applyFont="1" applyFill="1" applyBorder="1" applyAlignment="1">
      <x:alignment vertical="top" wrapText="1"/>
    </x:xf>
    <x:xf numFmtId="0" fontId="11" fillId="200" borderId="15" xfId="0" applyNumberFormat="1" applyFont="1" applyFill="1" applyBorder="1" applyAlignment="1">
      <x:alignment horizontal="center" vertical="top" wrapText="1"/>
    </x:xf>
    <x:xf numFmtId="0" fontId="11" fillId="202" borderId="15" xfId="0" applyNumberFormat="1" applyFont="1" applyFill="1" applyBorder="1" applyAlignment="1">
      <x:alignment horizontal="center" vertical="top" wrapText="1"/>
    </x:xf>
    <x:xf numFmtId="0" fontId="11" fillId="202" borderId="16" xfId="0" applyNumberFormat="1" applyFont="1" applyFill="1" applyBorder="1" applyAlignment="1">
      <x:alignment horizontal="center" vertical="top" wrapText="1"/>
    </x:xf>
    <x:xf numFmtId="0" fontId="11" fillId="202" borderId="16" xfId="0" applyNumberFormat="1" applyFont="1" applyFill="1" applyBorder="1" applyAlignment="1">
      <x:alignment vertical="top" wrapText="1"/>
    </x:xf>
    <x:xf numFmtId="0" fontId="11" fillId="202" borderId="17" xfId="0" applyNumberFormat="1" applyFont="1" applyFill="1" applyBorder="1" applyAlignment="1">
      <x:alignment vertical="top" wrapText="1"/>
    </x:xf>
    <x:xf numFmtId="0" fontId="11" fillId="202" borderId="18" xfId="0" applyNumberFormat="1" applyFont="1" applyFill="1" applyBorder="1" applyAlignment="1">
      <x:alignment horizontal="center" vertical="top" wrapText="1"/>
    </x:xf>
    <x:xf numFmtId="0" fontId="11" fillId="202" borderId="19" xfId="0" applyNumberFormat="1" applyFont="1" applyFill="1" applyBorder="1" applyAlignment="1">
      <x:alignment horizontal="center" vertical="top" wrapText="1"/>
    </x:xf>
    <x:xf numFmtId="0" fontId="11" fillId="202" borderId="19" xfId="0" applyNumberFormat="1" applyFont="1" applyFill="1" applyBorder="1" applyAlignment="1">
      <x:alignment vertical="top" wrapText="1"/>
    </x:xf>
    <x:xf numFmtId="0" fontId="11" fillId="202" borderId="20" xfId="0" applyNumberFormat="1" applyFont="1" applyFill="1" applyBorder="1" applyAlignment="1">
      <x:alignment vertical="top" wrapText="1"/>
    </x:xf>
    <x:xf numFmtId="200" fontId="11" fillId="200" borderId="16" xfId="0" applyNumberFormat="1" applyFont="1" applyFill="1" applyBorder="1" applyAlignment="1">
      <x:alignment horizontal="center" vertical="top" wrapText="1"/>
    </x:xf>
    <x:xf numFmtId="200" fontId="11" fillId="201" borderId="19" xfId="0" applyNumberFormat="1" applyFont="1" applyFill="1" applyBorder="1" applyAlignment="1">
      <x:alignment horizontal="center" vertical="top" wrapText="1"/>
    </x:xf>
    <x:xf numFmtId="200" fontId="11" fillId="200" borderId="19" xfId="0" applyNumberFormat="1" applyFont="1" applyFill="1" applyBorder="1" applyAlignment="1">
      <x:alignment horizontal="center" vertical="top" wrapText="1"/>
    </x:xf>
    <x:xf numFmtId="0" fontId="1" fillId="203" borderId="0" xfId="0" applyNumberFormat="1" applyFont="1" applyFill="1" applyBorder="1" applyAlignment="1">
      <x:alignment horizontal="left" vertical="center"/>
    </x:xf>
    <x:xf numFmtId="0" fontId="14" fillId="200" borderId="11" xfId="0" applyNumberFormat="1" applyFont="1" applyFill="1" applyBorder="1" applyAlignment="1">
      <x:alignment vertical="center" wrapText="1"/>
    </x:xf>
    <x:xf numFmtId="202" fontId="13" fillId="200" borderId="11" xfId="0" applyNumberFormat="1" applyFont="1" applyFill="1" applyBorder="1" applyAlignment="1">
      <x:alignment vertical="center" wrapText="1"/>
    </x:xf>
    <x:xf numFmtId="0" fontId="13" fillId="200" borderId="11" xfId="0" applyNumberFormat="1" applyFont="1" applyFill="1" applyBorder="1" applyAlignment="1">
      <x:alignment vertical="center" wrapText="1"/>
    </x:xf>
    <x:xf numFmtId="0" fontId="15" fillId="204" borderId="0" xfId="0" applyNumberFormat="1" applyFont="1" applyFill="1" applyBorder="1" applyAlignment="1">
      <x:alignment vertical="center" wrapText="1"/>
    </x:xf>
    <x:xf numFmtId="0" fontId="16" fillId="200" borderId="11" xfId="0" applyNumberFormat="1" applyFont="1" applyFill="1" applyBorder="1" applyAlignment="1">
      <x:alignment horizontal="center" vertical="center"/>
    </x:xf>
    <x:xf numFmtId="0" fontId="16" fillId="201" borderId="11" xfId="0" applyNumberFormat="1" applyFont="1" applyFill="1" applyBorder="1" applyAlignment="1">
      <x:alignment horizontal="center" vertical="center"/>
    </x:xf>
    <x:xf numFmtId="203" fontId="16" fillId="201" borderId="11" xfId="0" applyNumberFormat="1" applyFont="1" applyFill="1" applyBorder="1" applyAlignment="1">
      <x:alignment horizontal="center" vertical="center"/>
    </x:xf>
    <x:xf numFmtId="0" fontId="17" fillId="205" borderId="12" xfId="0" applyNumberFormat="1" applyFont="1" applyFill="1" applyBorder="1" applyAlignment="1">
      <x:alignment vertical="center" wrapText="1"/>
    </x:xf>
    <x:xf numFmtId="0" fontId="18" fillId="206" borderId="13" xfId="0" applyNumberFormat="1" applyFont="1" applyFill="1" applyBorder="1" applyAlignment="1">
      <x:alignment horizontal="center" vertical="center" wrapText="1"/>
    </x:xf>
    <x:xf numFmtId="0" fontId="11" fillId="207" borderId="14" xfId="0" applyNumberFormat="1" applyFont="1" applyFill="1" applyBorder="1" applyAlignment="1">
      <x:alignment vertical="top" wrapText="1"/>
    </x:xf>
    <x:xf numFmtId="204" fontId="11" fillId="207" borderId="14" xfId="0" applyNumberFormat="1" applyFont="1" applyFill="1" applyBorder="1" applyAlignment="1">
      <x:alignment vertical="top" wrapText="1"/>
    </x:xf>
    <x:xf numFmtId="0" fontId="11" fillId="207" borderId="14" xfId="0" applyNumberFormat="1" applyFont="1" applyFill="1" applyBorder="1" applyAlignment="1">
      <x:alignment horizontal="center" vertical="top" wrapText="1"/>
    </x:xf>
    <x:xf numFmtId="0" fontId="11" fillId="201" borderId="14" xfId="0" applyNumberFormat="1" applyFont="1" applyFill="1" applyBorder="1" applyAlignment="1">
      <x:alignment vertical="top" wrapText="1"/>
    </x:xf>
    <x:xf numFmtId="204" fontId="11" fillId="201" borderId="14" xfId="0" applyNumberFormat="1" applyFont="1" applyFill="1" applyBorder="1" applyAlignment="1">
      <x:alignment vertical="top" wrapText="1"/>
    </x:xf>
    <x:xf numFmtId="0" fontId="11" fillId="201" borderId="14" xfId="0" applyNumberFormat="1" applyFont="1" applyFill="1" applyBorder="1" applyAlignment="1">
      <x:alignment horizontal="center" vertical="top" wrapText="1"/>
    </x:xf>
    <x:xf numFmtId="0" fontId="1" fillId="203" borderId="0" xfId="0" applyNumberFormat="1" applyFont="1" applyFill="1" applyBorder="1" applyAlignment="1">
      <x:alignment vertical="center"/>
    </x:xf>
    <x:xf numFmtId="0" fontId="13" fillId="200" borderId="0" xfId="0" applyNumberFormat="1" applyFont="1" applyFill="1" applyBorder="1" applyAlignment="1">
      <x:alignment vertical="center" wrapText="1"/>
    </x:xf>
    <x:xf numFmtId="0" fontId="3" fillId="199" borderId="0" xfId="0" applyNumberFormat="1" applyFont="1" applyFill="1" applyBorder="1" applyAlignment="1">
      <x:alignment horizontal="center" vertical="center" wrapText="1"/>
    </x:xf>
    <x:xf numFmtId="0" fontId="11" fillId="207" borderId="0" xfId="0" applyNumberFormat="1" applyFont="1" applyFill="1" applyBorder="1" applyAlignment="1">
      <x:alignment horizontal="center" vertical="top" wrapText="1"/>
    </x:xf>
    <x:xf numFmtId="204" fontId="11" fillId="207" borderId="0" xfId="0" applyNumberFormat="1" applyFont="1" applyFill="1" applyBorder="1" applyAlignment="1">
      <x:alignment horizontal="center" vertical="top" wrapText="1"/>
    </x:xf>
    <x:xf numFmtId="0" fontId="11" fillId="207" borderId="0" xfId="0" applyNumberFormat="1" applyFont="1" applyFill="1" applyBorder="1" applyAlignment="1">
      <x:alignment vertical="top" wrapText="1"/>
    </x:xf>
    <x:xf numFmtId="0" fontId="11" fillId="201" borderId="0" xfId="0" applyNumberFormat="1" applyFont="1" applyFill="1" applyBorder="1" applyAlignment="1">
      <x:alignment horizontal="center" vertical="top" wrapText="1"/>
    </x:xf>
    <x:xf numFmtId="204" fontId="11" fillId="201" borderId="0" xfId="0" applyNumberFormat="1" applyFont="1" applyFill="1" applyBorder="1" applyAlignment="1">
      <x:alignment horizontal="center" vertical="top" wrapText="1"/>
    </x:xf>
    <x:xf numFmtId="0" fontId="11" fillId="201" borderId="0" xfId="0" applyNumberFormat="1" applyFont="1" applyFill="1" applyBorder="1" applyAlignment="1">
      <x:alignment vertical="top" wrapText="1"/>
    </x:xf>
    <x:xf numFmtId="0" fontId="20" fillId="208" borderId="10" xfId="0" applyNumberFormat="1" applyFont="1" applyFill="1" applyBorder="1" applyAlignment="1">
      <x:alignment vertical="top" wrapText="1"/>
    </x:xf>
    <x:xf numFmtId="0" fontId="20" fillId="208" borderId="10" xfId="0" applyNumberFormat="1" applyFont="1" applyFill="1" applyBorder="1"/>
    <x:xf numFmtId="0" fontId="20" fillId="208" borderId="10" xfId="0" applyNumberFormat="1" applyFont="1" applyFill="1" applyBorder="1" applyAlignment="1">
      <x:alignment wrapText="1"/>
    </x:xf>
    <x:xf numFmtId="0" fontId="20" fillId="208" borderId="10" xfId="0" applyNumberFormat="1" applyFont="1" applyFill="1" applyBorder="1" applyAlignment="1">
      <x:alignment vertical="center" wrapText="1"/>
    </x:xf>
    <x:xf numFmtId="0" fontId="37" fillId="208" borderId="10" xfId="0" applyNumberFormat="1" applyFont="1" applyFill="1" applyBorder="1" applyAlignment="1">
      <x:alignment vertical="top" wrapText="1"/>
    </x:xf>
    <x:xf numFmtId="0" fontId="37" fillId="208" borderId="10" xfId="0" applyNumberFormat="1" applyFont="1" applyFill="1" applyBorder="1"/>
    <x:xf numFmtId="0" fontId="37" fillId="208" borderId="10" xfId="0" applyNumberFormat="1" applyFont="1" applyFill="1" applyBorder="1" applyAlignment="1">
      <x:alignment wrapText="1"/>
    </x:xf>
    <x:xf numFmtId="0" fontId="37" fillId="208" borderId="10" xfId="0" applyNumberFormat="1" applyFont="1" applyFill="1" applyBorder="1" applyAlignment="1">
      <x:alignment vertical="center" wrapText="1"/>
    </x:xf>
    <x:xf numFmtId="0" fontId="3" fillId="209" borderId="1" xfId="0" applyNumberFormat="1" applyFont="1" applyFill="1" applyBorder="1" applyAlignment="1">
      <x:alignment horizontal="center" vertical="center" wrapText="1"/>
    </x:xf>
    <x:xf numFmtId="0" fontId="10" fillId="210" borderId="15" xfId="0" applyNumberFormat="1" applyFont="1" applyFill="1" applyBorder="1" applyAlignment="1">
      <x:alignment horizontal="center" vertical="top" wrapText="1"/>
    </x:xf>
    <x:xf numFmtId="0" fontId="11" fillId="210" borderId="16" xfId="0" applyNumberFormat="1" applyFont="1" applyFill="1" applyBorder="1" applyAlignment="1">
      <x:alignment horizontal="center" vertical="top" wrapText="1"/>
    </x:xf>
    <x:xf numFmtId="201" fontId="11" fillId="210" borderId="16" xfId="0" applyNumberFormat="1" applyFont="1" applyFill="1" applyBorder="1" applyAlignment="1">
      <x:alignment horizontal="center" vertical="top" wrapText="1"/>
    </x:xf>
    <x:xf numFmtId="0" fontId="11" fillId="210" borderId="16" xfId="0" applyNumberFormat="1" applyFont="1" applyFill="1" applyBorder="1" applyAlignment="1">
      <x:alignment vertical="top" wrapText="1"/>
    </x:xf>
    <x:xf numFmtId="0" fontId="11" fillId="210" borderId="17" xfId="0" applyNumberFormat="1" applyFont="1" applyFill="1" applyBorder="1" applyAlignment="1">
      <x:alignment vertical="top" wrapText="1"/>
    </x:xf>
    <x:xf numFmtId="0" fontId="11" fillId="211" borderId="18" xfId="0" applyNumberFormat="1" applyFont="1" applyFill="1" applyBorder="1" applyAlignment="1">
      <x:alignment horizontal="center" vertical="top" wrapText="1"/>
    </x:xf>
    <x:xf numFmtId="0" fontId="11" fillId="211" borderId="19" xfId="0" applyNumberFormat="1" applyFont="1" applyFill="1" applyBorder="1" applyAlignment="1">
      <x:alignment horizontal="center" vertical="top" wrapText="1"/>
    </x:xf>
    <x:xf numFmtId="201" fontId="11" fillId="211" borderId="19" xfId="0" applyNumberFormat="1" applyFont="1" applyFill="1" applyBorder="1" applyAlignment="1">
      <x:alignment horizontal="center" vertical="top" wrapText="1"/>
    </x:xf>
    <x:xf numFmtId="0" fontId="11" fillId="211" borderId="19" xfId="0" applyNumberFormat="1" applyFont="1" applyFill="1" applyBorder="1" applyAlignment="1">
      <x:alignment vertical="top" wrapText="1"/>
    </x:xf>
    <x:xf numFmtId="0" fontId="11" fillId="211" borderId="20" xfId="0" applyNumberFormat="1" applyFont="1" applyFill="1" applyBorder="1" applyAlignment="1">
      <x:alignment vertical="top" wrapText="1"/>
    </x:xf>
    <x:xf numFmtId="0" fontId="10" fillId="210" borderId="18" xfId="0" applyNumberFormat="1" applyFont="1" applyFill="1" applyBorder="1" applyAlignment="1">
      <x:alignment horizontal="center" vertical="top" wrapText="1"/>
    </x:xf>
    <x:xf numFmtId="0" fontId="11" fillId="210" borderId="19" xfId="0" applyNumberFormat="1" applyFont="1" applyFill="1" applyBorder="1" applyAlignment="1">
      <x:alignment horizontal="center" vertical="top" wrapText="1"/>
    </x:xf>
    <x:xf numFmtId="201" fontId="11" fillId="210" borderId="19" xfId="0" applyNumberFormat="1" applyFont="1" applyFill="1" applyBorder="1" applyAlignment="1">
      <x:alignment horizontal="center" vertical="top" wrapText="1"/>
    </x:xf>
    <x:xf numFmtId="0" fontId="11" fillId="210" borderId="19" xfId="0" applyNumberFormat="1" applyFont="1" applyFill="1" applyBorder="1" applyAlignment="1">
      <x:alignment vertical="top" wrapText="1"/>
    </x:xf>
    <x:xf numFmtId="0" fontId="11" fillId="210" borderId="20" xfId="0" applyNumberFormat="1" applyFont="1" applyFill="1" applyBorder="1" applyAlignment="1">
      <x:alignment vertical="top" wrapText="1"/>
    </x:xf>
    <x:xf numFmtId="0" fontId="10" fillId="211" borderId="18" xfId="0" applyNumberFormat="1" applyFont="1" applyFill="1" applyBorder="1" applyAlignment="1">
      <x:alignment horizontal="center" vertical="top" wrapText="1"/>
    </x:xf>
    <x:xf numFmtId="0" fontId="11" fillId="210" borderId="18" xfId="0" applyNumberFormat="1" applyFont="1" applyFill="1" applyBorder="1" applyAlignment="1">
      <x:alignment horizontal="center" vertical="top" wrapText="1"/>
    </x:xf>
    <x:xf numFmtId="0" fontId="11" fillId="211" borderId="21" xfId="0" applyNumberFormat="1" applyFont="1" applyFill="1" applyBorder="1" applyAlignment="1">
      <x:alignment horizontal="center" vertical="top" wrapText="1"/>
    </x:xf>
    <x:xf numFmtId="0" fontId="11" fillId="211" borderId="22" xfId="0" applyNumberFormat="1" applyFont="1" applyFill="1" applyBorder="1" applyAlignment="1">
      <x:alignment horizontal="center" vertical="top" wrapText="1"/>
    </x:xf>
    <x:xf numFmtId="201" fontId="11" fillId="211" borderId="22" xfId="0" applyNumberFormat="1" applyFont="1" applyFill="1" applyBorder="1" applyAlignment="1">
      <x:alignment horizontal="center" vertical="top" wrapText="1"/>
    </x:xf>
    <x:xf numFmtId="0" fontId="11" fillId="211" borderId="22" xfId="0" applyNumberFormat="1" applyFont="1" applyFill="1" applyBorder="1" applyAlignment="1">
      <x:alignment vertical="top" wrapText="1"/>
    </x:xf>
    <x:xf numFmtId="0" fontId="11" fillId="211" borderId="23" xfId="0" applyNumberFormat="1" applyFont="1" applyFill="1" applyBorder="1" applyAlignment="1">
      <x:alignment vertical="top" wrapText="1"/>
    </x:xf>
    <x:xf numFmtId="0" fontId="11" fillId="212" borderId="15" xfId="0" applyNumberFormat="1" applyFont="1" applyFill="1" applyBorder="1" applyAlignment="1">
      <x:alignment horizontal="center" vertical="top" wrapText="1"/>
    </x:xf>
    <x:xf numFmtId="201" fontId="11" fillId="212" borderId="16" xfId="0" applyNumberFormat="1" applyFont="1" applyFill="1" applyBorder="1" applyAlignment="1">
      <x:alignment horizontal="center" vertical="top" wrapText="1"/>
    </x:xf>
    <x:xf numFmtId="0" fontId="11" fillId="212" borderId="16" xfId="0" applyNumberFormat="1" applyFont="1" applyFill="1" applyBorder="1" applyAlignment="1">
      <x:alignment horizontal="center" vertical="top" wrapText="1"/>
    </x:xf>
    <x:xf numFmtId="0" fontId="11" fillId="212" borderId="16" xfId="0" applyNumberFormat="1" applyFont="1" applyFill="1" applyBorder="1" applyAlignment="1">
      <x:alignment vertical="top" wrapText="1"/>
    </x:xf>
    <x:xf numFmtId="0" fontId="11" fillId="212" borderId="17" xfId="0" applyNumberFormat="1" applyFont="1" applyFill="1" applyBorder="1" applyAlignment="1">
      <x:alignment horizontal="center" vertical="top" wrapText="1"/>
    </x:xf>
    <x:xf numFmtId="0" fontId="11" fillId="210" borderId="15" xfId="0" applyNumberFormat="1" applyFont="1" applyFill="1" applyBorder="1" applyAlignment="1">
      <x:alignment horizontal="center" vertical="top" wrapText="1"/>
    </x:xf>
    <x:xf numFmtId="0" fontId="11" fillId="213" borderId="15" xfId="0" applyNumberFormat="1" applyFont="1" applyFill="1" applyBorder="1" applyAlignment="1">
      <x:alignment horizontal="center" vertical="top" wrapText="1"/>
    </x:xf>
    <x:xf numFmtId="0" fontId="11" fillId="213" borderId="16" xfId="0" applyNumberFormat="1" applyFont="1" applyFill="1" applyBorder="1" applyAlignment="1">
      <x:alignment horizontal="center" vertical="top" wrapText="1"/>
    </x:xf>
    <x:xf numFmtId="0" fontId="11" fillId="213" borderId="16" xfId="0" applyNumberFormat="1" applyFont="1" applyFill="1" applyBorder="1" applyAlignment="1">
      <x:alignment vertical="top" wrapText="1"/>
    </x:xf>
    <x:xf numFmtId="0" fontId="11" fillId="213" borderId="17" xfId="0" applyNumberFormat="1" applyFont="1" applyFill="1" applyBorder="1" applyAlignment="1">
      <x:alignment vertical="top" wrapText="1"/>
    </x:xf>
    <x:xf numFmtId="0" fontId="11" fillId="213" borderId="18" xfId="0" applyNumberFormat="1" applyFont="1" applyFill="1" applyBorder="1" applyAlignment="1">
      <x:alignment horizontal="center" vertical="top" wrapText="1"/>
    </x:xf>
    <x:xf numFmtId="0" fontId="11" fillId="213" borderId="19" xfId="0" applyNumberFormat="1" applyFont="1" applyFill="1" applyBorder="1" applyAlignment="1">
      <x:alignment horizontal="center" vertical="top" wrapText="1"/>
    </x:xf>
    <x:xf numFmtId="0" fontId="11" fillId="213" borderId="19" xfId="0" applyNumberFormat="1" applyFont="1" applyFill="1" applyBorder="1" applyAlignment="1">
      <x:alignment vertical="top" wrapText="1"/>
    </x:xf>
    <x:xf numFmtId="0" fontId="11" fillId="213" borderId="20" xfId="0" applyNumberFormat="1" applyFont="1" applyFill="1" applyBorder="1" applyAlignment="1">
      <x:alignment vertical="top" wrapText="1"/>
    </x:xf>
    <x:xf numFmtId="200" fontId="11" fillId="210" borderId="16" xfId="0" applyNumberFormat="1" applyFont="1" applyFill="1" applyBorder="1" applyAlignment="1">
      <x:alignment horizontal="center" vertical="top" wrapText="1"/>
    </x:xf>
    <x:xf numFmtId="200" fontId="11" fillId="211" borderId="19" xfId="0" applyNumberFormat="1" applyFont="1" applyFill="1" applyBorder="1" applyAlignment="1">
      <x:alignment horizontal="center" vertical="top" wrapText="1"/>
    </x:xf>
    <x:xf numFmtId="200" fontId="11" fillId="210" borderId="19" xfId="0" applyNumberFormat="1" applyFont="1" applyFill="1" applyBorder="1" applyAlignment="1">
      <x:alignment horizontal="center" vertical="top" wrapText="1"/>
    </x:xf>
    <x:xf numFmtId="0" fontId="1" fillId="214" borderId="0" xfId="0" applyNumberFormat="1" applyFont="1" applyFill="1" applyBorder="1" applyAlignment="1">
      <x:alignment horizontal="left" vertical="center"/>
    </x:xf>
    <x:xf numFmtId="0" fontId="14" fillId="210" borderId="11" xfId="0" applyNumberFormat="1" applyFont="1" applyFill="1" applyBorder="1" applyAlignment="1">
      <x:alignment vertical="center" wrapText="1"/>
    </x:xf>
    <x:xf numFmtId="202" fontId="13" fillId="210" borderId="11" xfId="0" applyNumberFormat="1" applyFont="1" applyFill="1" applyBorder="1" applyAlignment="1">
      <x:alignment vertical="center" wrapText="1"/>
    </x:xf>
    <x:xf numFmtId="0" fontId="13" fillId="210" borderId="11" xfId="0" applyNumberFormat="1" applyFont="1" applyFill="1" applyBorder="1" applyAlignment="1">
      <x:alignment vertical="center" wrapText="1"/>
    </x:xf>
    <x:xf numFmtId="0" fontId="15" fillId="215" borderId="0" xfId="0" applyNumberFormat="1" applyFont="1" applyFill="1" applyBorder="1" applyAlignment="1">
      <x:alignment vertical="center" wrapText="1"/>
    </x:xf>
    <x:xf numFmtId="0" fontId="16" fillId="210" borderId="11" xfId="0" applyNumberFormat="1" applyFont="1" applyFill="1" applyBorder="1" applyAlignment="1">
      <x:alignment horizontal="center" vertical="center"/>
    </x:xf>
    <x:xf numFmtId="0" fontId="16" fillId="211" borderId="11" xfId="0" applyNumberFormat="1" applyFont="1" applyFill="1" applyBorder="1" applyAlignment="1">
      <x:alignment horizontal="center" vertical="center"/>
    </x:xf>
    <x:xf numFmtId="203" fontId="16" fillId="211" borderId="11" xfId="0" applyNumberFormat="1" applyFont="1" applyFill="1" applyBorder="1" applyAlignment="1">
      <x:alignment horizontal="center" vertical="center"/>
    </x:xf>
    <x:xf numFmtId="0" fontId="17" fillId="216" borderId="12" xfId="0" applyNumberFormat="1" applyFont="1" applyFill="1" applyBorder="1" applyAlignment="1">
      <x:alignment vertical="center" wrapText="1"/>
    </x:xf>
    <x:xf numFmtId="0" fontId="18" fillId="217" borderId="13" xfId="0" applyNumberFormat="1" applyFont="1" applyFill="1" applyBorder="1" applyAlignment="1">
      <x:alignment horizontal="center" vertical="center" wrapText="1"/>
    </x:xf>
    <x:xf numFmtId="0" fontId="11" fillId="218" borderId="14" xfId="0" applyNumberFormat="1" applyFont="1" applyFill="1" applyBorder="1" applyAlignment="1">
      <x:alignment vertical="top" wrapText="1"/>
    </x:xf>
    <x:xf numFmtId="204" fontId="11" fillId="218" borderId="14" xfId="0" applyNumberFormat="1" applyFont="1" applyFill="1" applyBorder="1" applyAlignment="1">
      <x:alignment vertical="top" wrapText="1"/>
    </x:xf>
    <x:xf numFmtId="0" fontId="11" fillId="218" borderId="14" xfId="0" applyNumberFormat="1" applyFont="1" applyFill="1" applyBorder="1" applyAlignment="1">
      <x:alignment horizontal="center" vertical="top" wrapText="1"/>
    </x:xf>
    <x:xf numFmtId="0" fontId="11" fillId="211" borderId="14" xfId="0" applyNumberFormat="1" applyFont="1" applyFill="1" applyBorder="1" applyAlignment="1">
      <x:alignment vertical="top" wrapText="1"/>
    </x:xf>
    <x:xf numFmtId="204" fontId="11" fillId="211" borderId="14" xfId="0" applyNumberFormat="1" applyFont="1" applyFill="1" applyBorder="1" applyAlignment="1">
      <x:alignment vertical="top" wrapText="1"/>
    </x:xf>
    <x:xf numFmtId="0" fontId="11" fillId="211" borderId="14" xfId="0" applyNumberFormat="1" applyFont="1" applyFill="1" applyBorder="1" applyAlignment="1">
      <x:alignment horizontal="center" vertical="top" wrapText="1"/>
    </x:xf>
    <x:xf numFmtId="0" fontId="1" fillId="214" borderId="0" xfId="0" applyNumberFormat="1" applyFont="1" applyFill="1" applyBorder="1" applyAlignment="1">
      <x:alignment vertical="center"/>
    </x:xf>
    <x:xf numFmtId="0" fontId="13" fillId="210" borderId="0" xfId="0" applyNumberFormat="1" applyFont="1" applyFill="1" applyBorder="1" applyAlignment="1">
      <x:alignment vertical="center" wrapText="1"/>
    </x:xf>
    <x:xf numFmtId="0" fontId="3" fillId="209" borderId="0" xfId="0" applyNumberFormat="1" applyFont="1" applyFill="1" applyBorder="1" applyAlignment="1">
      <x:alignment horizontal="center" vertical="center" wrapText="1"/>
    </x:xf>
    <x:xf numFmtId="0" fontId="11" fillId="218" borderId="0" xfId="0" applyNumberFormat="1" applyFont="1" applyFill="1" applyBorder="1" applyAlignment="1">
      <x:alignment horizontal="center" vertical="top" wrapText="1"/>
    </x:xf>
    <x:xf numFmtId="204" fontId="11" fillId="218" borderId="0" xfId="0" applyNumberFormat="1" applyFont="1" applyFill="1" applyBorder="1" applyAlignment="1">
      <x:alignment horizontal="center" vertical="top" wrapText="1"/>
    </x:xf>
    <x:xf numFmtId="0" fontId="11" fillId="218" borderId="0" xfId="0" applyNumberFormat="1" applyFont="1" applyFill="1" applyBorder="1" applyAlignment="1">
      <x:alignment vertical="top" wrapText="1"/>
    </x:xf>
    <x:xf numFmtId="0" fontId="11" fillId="211" borderId="0" xfId="0" applyNumberFormat="1" applyFont="1" applyFill="1" applyBorder="1" applyAlignment="1">
      <x:alignment horizontal="center" vertical="top" wrapText="1"/>
    </x:xf>
    <x:xf numFmtId="204" fontId="11" fillId="211" borderId="0" xfId="0" applyNumberFormat="1" applyFont="1" applyFill="1" applyBorder="1" applyAlignment="1">
      <x:alignment horizontal="center" vertical="top" wrapText="1"/>
    </x:xf>
    <x:xf numFmtId="0" fontId="11" fillId="211" borderId="0" xfId="0" applyNumberFormat="1" applyFont="1" applyFill="1" applyBorder="1" applyAlignment="1">
      <x:alignment vertical="top" wrapText="1"/>
    </x:xf>
    <x:xf numFmtId="204" fontId="11" fillId="218" borderId="0" xfId="0" applyNumberFormat="1" applyFont="1" applyFill="1" applyBorder="1" applyAlignment="1">
      <x:alignment vertical="top" wrapText="1"/>
    </x:xf>
    <x:xf numFmtId="204" fontId="11" fillId="211" borderId="0" xfId="0" applyNumberFormat="1" applyFont="1" applyFill="1" applyBorder="1" applyAlignment="1">
      <x:alignment vertical="top" wrapText="1"/>
    </x:xf>
    <x:xf numFmtId="0" fontId="20" fillId="219" borderId="10" xfId="0" applyNumberFormat="1" applyFont="1" applyFill="1" applyBorder="1" applyAlignment="1">
      <x:alignment vertical="top" wrapText="1"/>
    </x:xf>
    <x:xf numFmtId="0" fontId="20" fillId="219" borderId="10" xfId="0" applyNumberFormat="1" applyFont="1" applyFill="1" applyBorder="1"/>
    <x:xf numFmtId="0" fontId="20" fillId="219" borderId="10" xfId="0" applyNumberFormat="1" applyFont="1" applyFill="1" applyBorder="1" applyAlignment="1">
      <x:alignment wrapText="1"/>
    </x:xf>
    <x:xf numFmtId="0" fontId="20" fillId="219" borderId="10" xfId="0" applyNumberFormat="1" applyFont="1" applyFill="1" applyBorder="1" applyAlignment="1">
      <x:alignment vertical="center" wrapText="1"/>
    </x:xf>
    <x:xf numFmtId="0" fontId="38" fillId="219" borderId="10" xfId="0" applyNumberFormat="1" applyFont="1" applyFill="1" applyBorder="1" applyAlignment="1">
      <x:alignment vertical="top" wrapText="1"/>
    </x:xf>
    <x:xf numFmtId="0" fontId="38" fillId="219" borderId="10" xfId="0" applyNumberFormat="1" applyFont="1" applyFill="1" applyBorder="1"/>
    <x:xf numFmtId="0" fontId="38" fillId="219" borderId="10" xfId="0" applyNumberFormat="1" applyFont="1" applyFill="1" applyBorder="1" applyAlignment="1">
      <x:alignment wrapText="1"/>
    </x:xf>
    <x:xf numFmtId="0" fontId="38" fillId="219" borderId="10" xfId="0" applyNumberFormat="1" applyFont="1" applyFill="1" applyBorder="1" applyAlignment="1">
      <x:alignment vertical="center" wrapText="1"/>
    </x:xf>
    <x:xf numFmtId="0" fontId="3" fillId="220" borderId="1" xfId="0" applyNumberFormat="1" applyFont="1" applyFill="1" applyBorder="1" applyAlignment="1">
      <x:alignment horizontal="center" vertical="center" wrapText="1"/>
    </x:xf>
    <x:xf numFmtId="0" fontId="10" fillId="221" borderId="15" xfId="0" applyNumberFormat="1" applyFont="1" applyFill="1" applyBorder="1" applyAlignment="1">
      <x:alignment horizontal="center" vertical="top" wrapText="1"/>
    </x:xf>
    <x:xf numFmtId="0" fontId="11" fillId="221" borderId="16" xfId="0" applyNumberFormat="1" applyFont="1" applyFill="1" applyBorder="1" applyAlignment="1">
      <x:alignment horizontal="center" vertical="top" wrapText="1"/>
    </x:xf>
    <x:xf numFmtId="201" fontId="11" fillId="221" borderId="16" xfId="0" applyNumberFormat="1" applyFont="1" applyFill="1" applyBorder="1" applyAlignment="1">
      <x:alignment horizontal="center" vertical="top" wrapText="1"/>
    </x:xf>
    <x:xf numFmtId="0" fontId="11" fillId="221" borderId="16" xfId="0" applyNumberFormat="1" applyFont="1" applyFill="1" applyBorder="1" applyAlignment="1">
      <x:alignment vertical="top" wrapText="1"/>
    </x:xf>
    <x:xf numFmtId="0" fontId="11" fillId="221" borderId="17" xfId="0" applyNumberFormat="1" applyFont="1" applyFill="1" applyBorder="1" applyAlignment="1">
      <x:alignment vertical="top" wrapText="1"/>
    </x:xf>
    <x:xf numFmtId="0" fontId="11" fillId="222" borderId="18" xfId="0" applyNumberFormat="1" applyFont="1" applyFill="1" applyBorder="1" applyAlignment="1">
      <x:alignment horizontal="center" vertical="top" wrapText="1"/>
    </x:xf>
    <x:xf numFmtId="0" fontId="11" fillId="222" borderId="19" xfId="0" applyNumberFormat="1" applyFont="1" applyFill="1" applyBorder="1" applyAlignment="1">
      <x:alignment horizontal="center" vertical="top" wrapText="1"/>
    </x:xf>
    <x:xf numFmtId="201" fontId="11" fillId="222" borderId="19" xfId="0" applyNumberFormat="1" applyFont="1" applyFill="1" applyBorder="1" applyAlignment="1">
      <x:alignment horizontal="center" vertical="top" wrapText="1"/>
    </x:xf>
    <x:xf numFmtId="0" fontId="11" fillId="222" borderId="19" xfId="0" applyNumberFormat="1" applyFont="1" applyFill="1" applyBorder="1" applyAlignment="1">
      <x:alignment vertical="top" wrapText="1"/>
    </x:xf>
    <x:xf numFmtId="0" fontId="11" fillId="222" borderId="20" xfId="0" applyNumberFormat="1" applyFont="1" applyFill="1" applyBorder="1" applyAlignment="1">
      <x:alignment vertical="top" wrapText="1"/>
    </x:xf>
    <x:xf numFmtId="0" fontId="10" fillId="221" borderId="18" xfId="0" applyNumberFormat="1" applyFont="1" applyFill="1" applyBorder="1" applyAlignment="1">
      <x:alignment horizontal="center" vertical="top" wrapText="1"/>
    </x:xf>
    <x:xf numFmtId="0" fontId="11" fillId="221" borderId="19" xfId="0" applyNumberFormat="1" applyFont="1" applyFill="1" applyBorder="1" applyAlignment="1">
      <x:alignment horizontal="center" vertical="top" wrapText="1"/>
    </x:xf>
    <x:xf numFmtId="201" fontId="11" fillId="221" borderId="19" xfId="0" applyNumberFormat="1" applyFont="1" applyFill="1" applyBorder="1" applyAlignment="1">
      <x:alignment horizontal="center" vertical="top" wrapText="1"/>
    </x:xf>
    <x:xf numFmtId="0" fontId="11" fillId="221" borderId="19" xfId="0" applyNumberFormat="1" applyFont="1" applyFill="1" applyBorder="1" applyAlignment="1">
      <x:alignment vertical="top" wrapText="1"/>
    </x:xf>
    <x:xf numFmtId="0" fontId="11" fillId="221" borderId="20" xfId="0" applyNumberFormat="1" applyFont="1" applyFill="1" applyBorder="1" applyAlignment="1">
      <x:alignment vertical="top" wrapText="1"/>
    </x:xf>
    <x:xf numFmtId="0" fontId="10" fillId="222" borderId="18" xfId="0" applyNumberFormat="1" applyFont="1" applyFill="1" applyBorder="1" applyAlignment="1">
      <x:alignment horizontal="center" vertical="top" wrapText="1"/>
    </x:xf>
    <x:xf numFmtId="0" fontId="11" fillId="221" borderId="18" xfId="0" applyNumberFormat="1" applyFont="1" applyFill="1" applyBorder="1" applyAlignment="1">
      <x:alignment horizontal="center" vertical="top" wrapText="1"/>
    </x:xf>
    <x:xf numFmtId="0" fontId="11" fillId="222" borderId="21" xfId="0" applyNumberFormat="1" applyFont="1" applyFill="1" applyBorder="1" applyAlignment="1">
      <x:alignment horizontal="center" vertical="top" wrapText="1"/>
    </x:xf>
    <x:xf numFmtId="0" fontId="11" fillId="222" borderId="22" xfId="0" applyNumberFormat="1" applyFont="1" applyFill="1" applyBorder="1" applyAlignment="1">
      <x:alignment horizontal="center" vertical="top" wrapText="1"/>
    </x:xf>
    <x:xf numFmtId="201" fontId="11" fillId="222" borderId="22" xfId="0" applyNumberFormat="1" applyFont="1" applyFill="1" applyBorder="1" applyAlignment="1">
      <x:alignment horizontal="center" vertical="top" wrapText="1"/>
    </x:xf>
    <x:xf numFmtId="0" fontId="11" fillId="222" borderId="22" xfId="0" applyNumberFormat="1" applyFont="1" applyFill="1" applyBorder="1" applyAlignment="1">
      <x:alignment vertical="top" wrapText="1"/>
    </x:xf>
    <x:xf numFmtId="0" fontId="11" fillId="222" borderId="23" xfId="0" applyNumberFormat="1" applyFont="1" applyFill="1" applyBorder="1" applyAlignment="1">
      <x:alignment vertical="top" wrapText="1"/>
    </x:xf>
    <x:xf numFmtId="0" fontId="11" fillId="221" borderId="0" xfId="0" applyNumberFormat="1" applyFont="1" applyFill="1" applyBorder="1" applyAlignment="1">
      <x:alignment horizontal="center" vertical="top" wrapText="1"/>
    </x:xf>
    <x:xf numFmtId="201" fontId="11" fillId="221" borderId="0" xfId="0" applyNumberFormat="1" applyFont="1" applyFill="1" applyBorder="1" applyAlignment="1">
      <x:alignment horizontal="center" vertical="top" wrapText="1"/>
    </x:xf>
    <x:xf numFmtId="0" fontId="11" fillId="221" borderId="0" xfId="0" applyNumberFormat="1" applyFont="1" applyFill="1" applyBorder="1" applyAlignment="1">
      <x:alignment vertical="top" wrapText="1"/>
    </x:xf>
    <x:xf numFmtId="0" fontId="11" fillId="222" borderId="0" xfId="0" applyNumberFormat="1" applyFont="1" applyFill="1" applyBorder="1" applyAlignment="1">
      <x:alignment horizontal="center" vertical="top" wrapText="1"/>
    </x:xf>
    <x:xf numFmtId="201" fontId="11" fillId="222" borderId="0" xfId="0" applyNumberFormat="1" applyFont="1" applyFill="1" applyBorder="1" applyAlignment="1">
      <x:alignment horizontal="center" vertical="top" wrapText="1"/>
    </x:xf>
    <x:xf numFmtId="0" fontId="11" fillId="222" borderId="0" xfId="0" applyNumberFormat="1" applyFont="1" applyFill="1" applyBorder="1" applyAlignment="1">
      <x:alignment vertical="top" wrapText="1"/>
    </x:xf>
    <x:xf numFmtId="0" fontId="11" fillId="223" borderId="15" xfId="0" applyNumberFormat="1" applyFont="1" applyFill="1" applyBorder="1" applyAlignment="1">
      <x:alignment horizontal="center" vertical="top" wrapText="1"/>
    </x:xf>
    <x:xf numFmtId="201" fontId="11" fillId="223" borderId="16" xfId="0" applyNumberFormat="1" applyFont="1" applyFill="1" applyBorder="1" applyAlignment="1">
      <x:alignment horizontal="center" vertical="top" wrapText="1"/>
    </x:xf>
    <x:xf numFmtId="0" fontId="11" fillId="223" borderId="16" xfId="0" applyNumberFormat="1" applyFont="1" applyFill="1" applyBorder="1" applyAlignment="1">
      <x:alignment horizontal="center" vertical="top" wrapText="1"/>
    </x:xf>
    <x:xf numFmtId="0" fontId="11" fillId="223" borderId="16" xfId="0" applyNumberFormat="1" applyFont="1" applyFill="1" applyBorder="1" applyAlignment="1">
      <x:alignment vertical="top" wrapText="1"/>
    </x:xf>
    <x:xf numFmtId="0" fontId="11" fillId="223" borderId="17" xfId="0" applyNumberFormat="1" applyFont="1" applyFill="1" applyBorder="1" applyAlignment="1">
      <x:alignment horizontal="center" vertical="top" wrapText="1"/>
    </x:xf>
    <x:xf numFmtId="0" fontId="11" fillId="223" borderId="0" xfId="0" applyNumberFormat="1" applyFont="1" applyFill="1" applyBorder="1" applyAlignment="1">
      <x:alignment horizontal="center" vertical="top" wrapText="1"/>
    </x:xf>
    <x:xf numFmtId="201" fontId="11" fillId="223" borderId="0" xfId="0" applyNumberFormat="1" applyFont="1" applyFill="1" applyBorder="1" applyAlignment="1">
      <x:alignment horizontal="center" vertical="top" wrapText="1"/>
    </x:xf>
    <x:xf numFmtId="0" fontId="11" fillId="223" borderId="0" xfId="0" applyNumberFormat="1" applyFont="1" applyFill="1" applyBorder="1" applyAlignment="1">
      <x:alignment vertical="top" wrapText="1"/>
    </x:xf>
    <x:xf numFmtId="0" fontId="11" fillId="221" borderId="15" xfId="0" applyNumberFormat="1" applyFont="1" applyFill="1" applyBorder="1" applyAlignment="1">
      <x:alignment horizontal="center" vertical="top" wrapText="1"/>
    </x:xf>
    <x:xf numFmtId="0" fontId="11" fillId="224" borderId="15" xfId="0" applyNumberFormat="1" applyFont="1" applyFill="1" applyBorder="1" applyAlignment="1">
      <x:alignment horizontal="center" vertical="top" wrapText="1"/>
    </x:xf>
    <x:xf numFmtId="0" fontId="11" fillId="224" borderId="16" xfId="0" applyNumberFormat="1" applyFont="1" applyFill="1" applyBorder="1" applyAlignment="1">
      <x:alignment horizontal="center" vertical="top" wrapText="1"/>
    </x:xf>
    <x:xf numFmtId="0" fontId="11" fillId="224" borderId="16" xfId="0" applyNumberFormat="1" applyFont="1" applyFill="1" applyBorder="1" applyAlignment="1">
      <x:alignment vertical="top" wrapText="1"/>
    </x:xf>
    <x:xf numFmtId="0" fontId="11" fillId="224" borderId="17" xfId="0" applyNumberFormat="1" applyFont="1" applyFill="1" applyBorder="1" applyAlignment="1">
      <x:alignment vertical="top" wrapText="1"/>
    </x:xf>
    <x:xf numFmtId="0" fontId="11" fillId="224" borderId="18" xfId="0" applyNumberFormat="1" applyFont="1" applyFill="1" applyBorder="1" applyAlignment="1">
      <x:alignment horizontal="center" vertical="top" wrapText="1"/>
    </x:xf>
    <x:xf numFmtId="0" fontId="11" fillId="224" borderId="19" xfId="0" applyNumberFormat="1" applyFont="1" applyFill="1" applyBorder="1" applyAlignment="1">
      <x:alignment horizontal="center" vertical="top" wrapText="1"/>
    </x:xf>
    <x:xf numFmtId="0" fontId="11" fillId="224" borderId="19" xfId="0" applyNumberFormat="1" applyFont="1" applyFill="1" applyBorder="1" applyAlignment="1">
      <x:alignment vertical="top" wrapText="1"/>
    </x:xf>
    <x:xf numFmtId="0" fontId="11" fillId="224" borderId="20" xfId="0" applyNumberFormat="1" applyFont="1" applyFill="1" applyBorder="1" applyAlignment="1">
      <x:alignment vertical="top" wrapText="1"/>
    </x:xf>
    <x:xf numFmtId="0" fontId="11" fillId="224" borderId="0" xfId="0" applyNumberFormat="1" applyFont="1" applyFill="1" applyBorder="1" applyAlignment="1">
      <x:alignment horizontal="center" vertical="top" wrapText="1"/>
    </x:xf>
    <x:xf numFmtId="0" fontId="11" fillId="224" borderId="0" xfId="0" applyNumberFormat="1" applyFont="1" applyFill="1" applyBorder="1" applyAlignment="1">
      <x:alignment vertical="top" wrapText="1"/>
    </x:xf>
    <x:xf numFmtId="200" fontId="11" fillId="221" borderId="16" xfId="0" applyNumberFormat="1" applyFont="1" applyFill="1" applyBorder="1" applyAlignment="1">
      <x:alignment horizontal="center" vertical="top" wrapText="1"/>
    </x:xf>
    <x:xf numFmtId="200" fontId="11" fillId="222" borderId="19" xfId="0" applyNumberFormat="1" applyFont="1" applyFill="1" applyBorder="1" applyAlignment="1">
      <x:alignment horizontal="center" vertical="top" wrapText="1"/>
    </x:xf>
    <x:xf numFmtId="200" fontId="11" fillId="221" borderId="19" xfId="0" applyNumberFormat="1" applyFont="1" applyFill="1" applyBorder="1" applyAlignment="1">
      <x:alignment horizontal="center" vertical="top" wrapText="1"/>
    </x:xf>
    <x:xf numFmtId="0" fontId="1" fillId="225" borderId="0" xfId="0" applyNumberFormat="1" applyFont="1" applyFill="1" applyBorder="1" applyAlignment="1">
      <x:alignment horizontal="left" vertical="center"/>
    </x:xf>
    <x:xf numFmtId="0" fontId="14" fillId="221" borderId="11" xfId="0" applyNumberFormat="1" applyFont="1" applyFill="1" applyBorder="1" applyAlignment="1">
      <x:alignment vertical="center" wrapText="1"/>
    </x:xf>
    <x:xf numFmtId="202" fontId="13" fillId="221" borderId="11" xfId="0" applyNumberFormat="1" applyFont="1" applyFill="1" applyBorder="1" applyAlignment="1">
      <x:alignment vertical="center" wrapText="1"/>
    </x:xf>
    <x:xf numFmtId="0" fontId="13" fillId="221" borderId="11" xfId="0" applyNumberFormat="1" applyFont="1" applyFill="1" applyBorder="1" applyAlignment="1">
      <x:alignment vertical="center" wrapText="1"/>
    </x:xf>
    <x:xf numFmtId="0" fontId="15" fillId="226" borderId="0" xfId="0" applyNumberFormat="1" applyFont="1" applyFill="1" applyBorder="1" applyAlignment="1">
      <x:alignment vertical="center" wrapText="1"/>
    </x:xf>
    <x:xf numFmtId="0" fontId="16" fillId="221" borderId="11" xfId="0" applyNumberFormat="1" applyFont="1" applyFill="1" applyBorder="1" applyAlignment="1">
      <x:alignment horizontal="center" vertical="center"/>
    </x:xf>
    <x:xf numFmtId="0" fontId="16" fillId="222" borderId="11" xfId="0" applyNumberFormat="1" applyFont="1" applyFill="1" applyBorder="1" applyAlignment="1">
      <x:alignment horizontal="center" vertical="center"/>
    </x:xf>
    <x:xf numFmtId="203" fontId="16" fillId="222" borderId="11" xfId="0" applyNumberFormat="1" applyFont="1" applyFill="1" applyBorder="1" applyAlignment="1">
      <x:alignment horizontal="center" vertical="center"/>
    </x:xf>
    <x:xf numFmtId="0" fontId="17" fillId="227" borderId="12" xfId="0" applyNumberFormat="1" applyFont="1" applyFill="1" applyBorder="1" applyAlignment="1">
      <x:alignment vertical="center" wrapText="1"/>
    </x:xf>
    <x:xf numFmtId="0" fontId="18" fillId="228" borderId="13" xfId="0" applyNumberFormat="1" applyFont="1" applyFill="1" applyBorder="1" applyAlignment="1">
      <x:alignment horizontal="center" vertical="center" wrapText="1"/>
    </x:xf>
    <x:xf numFmtId="0" fontId="11" fillId="229" borderId="14" xfId="0" applyNumberFormat="1" applyFont="1" applyFill="1" applyBorder="1" applyAlignment="1">
      <x:alignment vertical="top" wrapText="1"/>
    </x:xf>
    <x:xf numFmtId="204" fontId="11" fillId="229" borderId="14" xfId="0" applyNumberFormat="1" applyFont="1" applyFill="1" applyBorder="1" applyAlignment="1">
      <x:alignment vertical="top" wrapText="1"/>
    </x:xf>
    <x:xf numFmtId="0" fontId="11" fillId="229" borderId="14" xfId="0" applyNumberFormat="1" applyFont="1" applyFill="1" applyBorder="1" applyAlignment="1">
      <x:alignment horizontal="center" vertical="top" wrapText="1"/>
    </x:xf>
    <x:xf numFmtId="0" fontId="11" fillId="222" borderId="14" xfId="0" applyNumberFormat="1" applyFont="1" applyFill="1" applyBorder="1" applyAlignment="1">
      <x:alignment vertical="top" wrapText="1"/>
    </x:xf>
    <x:xf numFmtId="204" fontId="11" fillId="222" borderId="14" xfId="0" applyNumberFormat="1" applyFont="1" applyFill="1" applyBorder="1" applyAlignment="1">
      <x:alignment vertical="top" wrapText="1"/>
    </x:xf>
    <x:xf numFmtId="0" fontId="11" fillId="222" borderId="14" xfId="0" applyNumberFormat="1" applyFont="1" applyFill="1" applyBorder="1" applyAlignment="1">
      <x:alignment horizontal="center" vertical="top" wrapText="1"/>
    </x:xf>
    <x:xf numFmtId="0" fontId="0" fillId="229" borderId="0" xfId="0" applyNumberFormat="1" applyFont="1" applyFill="1" applyBorder="1"/>
    <x:xf numFmtId="204" fontId="0" fillId="229" borderId="0" xfId="0" applyNumberFormat="1" applyFont="1" applyFill="1" applyBorder="1"/>
    <x:xf numFmtId="0" fontId="0" fillId="222" borderId="0" xfId="0" applyNumberFormat="1" applyFont="1" applyFill="1" applyBorder="1"/>
    <x:xf numFmtId="204" fontId="0" fillId="222" borderId="0" xfId="0" applyNumberFormat="1" applyFont="1" applyFill="1" applyBorder="1"/>
    <x:xf numFmtId="0" fontId="0" fillId="229" borderId="0" xfId="0" applyNumberFormat="1" applyFont="1" applyFill="1" applyBorder="1" applyAlignment="1">
      <x:alignment wrapText="1"/>
    </x:xf>
    <x:xf numFmtId="204" fontId="0" fillId="229" borderId="0" xfId="0" applyNumberFormat="1" applyFont="1" applyFill="1" applyBorder="1" applyAlignment="1">
      <x:alignment wrapText="1"/>
    </x:xf>
    <x:xf numFmtId="0" fontId="0" fillId="222" borderId="0" xfId="0" applyNumberFormat="1" applyFont="1" applyFill="1" applyBorder="1" applyAlignment="1">
      <x:alignment wrapText="1"/>
    </x:xf>
    <x:xf numFmtId="204" fontId="0" fillId="222" borderId="0" xfId="0" applyNumberFormat="1" applyFont="1" applyFill="1" applyBorder="1" applyAlignment="1">
      <x:alignment wrapText="1"/>
    </x:xf>
    <x:xf numFmtId="0" fontId="0" fillId="229" borderId="0" xfId="0" applyNumberFormat="1" applyFont="1" applyFill="1" applyBorder="1" applyAlignment="1">
      <x:alignment vertical="top" wrapText="1"/>
    </x:xf>
    <x:xf numFmtId="204" fontId="0" fillId="229" borderId="0" xfId="0" applyNumberFormat="1" applyFont="1" applyFill="1" applyBorder="1" applyAlignment="1">
      <x:alignment vertical="top" wrapText="1"/>
    </x:xf>
    <x:xf numFmtId="0" fontId="0" fillId="222" borderId="0" xfId="0" applyNumberFormat="1" applyFont="1" applyFill="1" applyBorder="1" applyAlignment="1">
      <x:alignment vertical="top" wrapText="1"/>
    </x:xf>
    <x:xf numFmtId="204" fontId="0" fillId="222" borderId="0" xfId="0" applyNumberFormat="1" applyFont="1" applyFill="1" applyBorder="1" applyAlignment="1">
      <x:alignment vertical="top" wrapText="1"/>
    </x:xf>
    <x:xf numFmtId="0" fontId="11" fillId="229" borderId="0" xfId="0" applyNumberFormat="1" applyFont="1" applyFill="1" applyBorder="1" applyAlignment="1">
      <x:alignment vertical="top" wrapText="1"/>
    </x:xf>
    <x:xf numFmtId="204" fontId="11" fillId="229" borderId="0" xfId="0" applyNumberFormat="1" applyFont="1" applyFill="1" applyBorder="1" applyAlignment="1">
      <x:alignment vertical="top" wrapText="1"/>
    </x:xf>
    <x:xf numFmtId="204" fontId="11" fillId="222" borderId="0" xfId="0" applyNumberFormat="1" applyFont="1" applyFill="1" applyBorder="1" applyAlignment="1">
      <x:alignment vertical="top" wrapText="1"/>
    </x:xf>
    <x:xf numFmtId="0" fontId="11" fillId="229" borderId="0" xfId="0" applyNumberFormat="1" applyFont="1" applyFill="1" applyBorder="1" applyAlignment="1">
      <x:alignment horizontal="center" vertical="top" wrapText="1"/>
    </x:xf>
    <x:xf numFmtId="0" fontId="1" fillId="225" borderId="0" xfId="0" applyNumberFormat="1" applyFont="1" applyFill="1" applyBorder="1" applyAlignment="1">
      <x:alignment vertical="center"/>
    </x:xf>
    <x:xf numFmtId="0" fontId="13" fillId="221" borderId="0" xfId="0" applyNumberFormat="1" applyFont="1" applyFill="1" applyBorder="1" applyAlignment="1">
      <x:alignment vertical="center" wrapText="1"/>
    </x:xf>
    <x:xf numFmtId="0" fontId="3" fillId="220" borderId="0" xfId="0" applyNumberFormat="1" applyFont="1" applyFill="1" applyBorder="1" applyAlignment="1">
      <x:alignment horizontal="center" vertical="center" wrapText="1"/>
    </x:xf>
    <x:xf numFmtId="204" fontId="11" fillId="229" borderId="0" xfId="0" applyNumberFormat="1" applyFont="1" applyFill="1" applyBorder="1" applyAlignment="1">
      <x:alignment horizontal="center" vertical="top" wrapText="1"/>
    </x:xf>
    <x:xf numFmtId="204" fontId="11" fillId="222" borderId="0" xfId="0" applyNumberFormat="1" applyFont="1" applyFill="1" applyBorder="1" applyAlignment="1">
      <x:alignment horizontal="center" vertical="top" wrapText="1"/>
    </x:xf>
    <x:xf numFmtId="0" fontId="20" fillId="230" borderId="10" xfId="0" applyNumberFormat="1" applyFont="1" applyFill="1" applyBorder="1" applyAlignment="1">
      <x:alignment vertical="top" wrapText="1"/>
    </x:xf>
    <x:xf numFmtId="0" fontId="20" fillId="230" borderId="10" xfId="0" applyNumberFormat="1" applyFont="1" applyFill="1" applyBorder="1"/>
    <x:xf numFmtId="0" fontId="20" fillId="230" borderId="10" xfId="0" applyNumberFormat="1" applyFont="1" applyFill="1" applyBorder="1" applyAlignment="1">
      <x:alignment wrapText="1"/>
    </x:xf>
    <x:xf numFmtId="0" fontId="20" fillId="230" borderId="10" xfId="0" applyNumberFormat="1" applyFont="1" applyFill="1" applyBorder="1" applyAlignment="1">
      <x:alignment vertical="center" wrapText="1"/>
    </x:xf>
    <x:xf numFmtId="0" fontId="39" fillId="230" borderId="10" xfId="0" applyNumberFormat="1" applyFont="1" applyFill="1" applyBorder="1" applyAlignment="1">
      <x:alignment vertical="top" wrapText="1"/>
    </x:xf>
    <x:xf numFmtId="0" fontId="39" fillId="230" borderId="10" xfId="0" applyNumberFormat="1" applyFont="1" applyFill="1" applyBorder="1"/>
    <x:xf numFmtId="0" fontId="39" fillId="230" borderId="10" xfId="0" applyNumberFormat="1" applyFont="1" applyFill="1" applyBorder="1" applyAlignment="1">
      <x:alignment wrapText="1"/>
    </x:xf>
    <x:xf numFmtId="0" fontId="39" fillId="230" borderId="10" xfId="0" applyNumberFormat="1" applyFont="1" applyFill="1" applyBorder="1" applyAlignment="1">
      <x:alignment vertical="center" wrapText="1"/>
    </x:xf>
    <x:xf numFmtId="0" fontId="3" fillId="231" borderId="1" xfId="0" applyNumberFormat="1" applyFont="1" applyFill="1" applyBorder="1" applyAlignment="1">
      <x:alignment horizontal="center" vertical="center" wrapText="1"/>
    </x:xf>
    <x:xf numFmtId="0" fontId="10" fillId="232" borderId="15" xfId="0" applyNumberFormat="1" applyFont="1" applyFill="1" applyBorder="1" applyAlignment="1">
      <x:alignment horizontal="center" vertical="top" wrapText="1"/>
    </x:xf>
    <x:xf numFmtId="0" fontId="11" fillId="232" borderId="16" xfId="0" applyNumberFormat="1" applyFont="1" applyFill="1" applyBorder="1" applyAlignment="1">
      <x:alignment horizontal="center" vertical="top" wrapText="1"/>
    </x:xf>
    <x:xf numFmtId="201" fontId="11" fillId="232" borderId="16" xfId="0" applyNumberFormat="1" applyFont="1" applyFill="1" applyBorder="1" applyAlignment="1">
      <x:alignment horizontal="center" vertical="top" wrapText="1"/>
    </x:xf>
    <x:xf numFmtId="0" fontId="11" fillId="232" borderId="16" xfId="0" applyNumberFormat="1" applyFont="1" applyFill="1" applyBorder="1" applyAlignment="1">
      <x:alignment vertical="top" wrapText="1"/>
    </x:xf>
    <x:xf numFmtId="0" fontId="11" fillId="232" borderId="17" xfId="0" applyNumberFormat="1" applyFont="1" applyFill="1" applyBorder="1" applyAlignment="1">
      <x:alignment vertical="top" wrapText="1"/>
    </x:xf>
    <x:xf numFmtId="0" fontId="11" fillId="233" borderId="18" xfId="0" applyNumberFormat="1" applyFont="1" applyFill="1" applyBorder="1" applyAlignment="1">
      <x:alignment horizontal="center" vertical="top" wrapText="1"/>
    </x:xf>
    <x:xf numFmtId="0" fontId="11" fillId="233" borderId="19" xfId="0" applyNumberFormat="1" applyFont="1" applyFill="1" applyBorder="1" applyAlignment="1">
      <x:alignment horizontal="center" vertical="top" wrapText="1"/>
    </x:xf>
    <x:xf numFmtId="201" fontId="11" fillId="233" borderId="19" xfId="0" applyNumberFormat="1" applyFont="1" applyFill="1" applyBorder="1" applyAlignment="1">
      <x:alignment horizontal="center" vertical="top" wrapText="1"/>
    </x:xf>
    <x:xf numFmtId="0" fontId="11" fillId="233" borderId="19" xfId="0" applyNumberFormat="1" applyFont="1" applyFill="1" applyBorder="1" applyAlignment="1">
      <x:alignment vertical="top" wrapText="1"/>
    </x:xf>
    <x:xf numFmtId="0" fontId="11" fillId="233" borderId="20" xfId="0" applyNumberFormat="1" applyFont="1" applyFill="1" applyBorder="1" applyAlignment="1">
      <x:alignment vertical="top" wrapText="1"/>
    </x:xf>
    <x:xf numFmtId="0" fontId="10" fillId="232" borderId="18" xfId="0" applyNumberFormat="1" applyFont="1" applyFill="1" applyBorder="1" applyAlignment="1">
      <x:alignment horizontal="center" vertical="top" wrapText="1"/>
    </x:xf>
    <x:xf numFmtId="0" fontId="11" fillId="232" borderId="19" xfId="0" applyNumberFormat="1" applyFont="1" applyFill="1" applyBorder="1" applyAlignment="1">
      <x:alignment horizontal="center" vertical="top" wrapText="1"/>
    </x:xf>
    <x:xf numFmtId="201" fontId="11" fillId="232" borderId="19" xfId="0" applyNumberFormat="1" applyFont="1" applyFill="1" applyBorder="1" applyAlignment="1">
      <x:alignment horizontal="center" vertical="top" wrapText="1"/>
    </x:xf>
    <x:xf numFmtId="0" fontId="11" fillId="232" borderId="19" xfId="0" applyNumberFormat="1" applyFont="1" applyFill="1" applyBorder="1" applyAlignment="1">
      <x:alignment vertical="top" wrapText="1"/>
    </x:xf>
    <x:xf numFmtId="0" fontId="11" fillId="232" borderId="20" xfId="0" applyNumberFormat="1" applyFont="1" applyFill="1" applyBorder="1" applyAlignment="1">
      <x:alignment vertical="top" wrapText="1"/>
    </x:xf>
    <x:xf numFmtId="0" fontId="10" fillId="233" borderId="18" xfId="0" applyNumberFormat="1" applyFont="1" applyFill="1" applyBorder="1" applyAlignment="1">
      <x:alignment horizontal="center" vertical="top" wrapText="1"/>
    </x:xf>
    <x:xf numFmtId="0" fontId="11" fillId="232" borderId="18" xfId="0" applyNumberFormat="1" applyFont="1" applyFill="1" applyBorder="1" applyAlignment="1">
      <x:alignment horizontal="center" vertical="top" wrapText="1"/>
    </x:xf>
    <x:xf numFmtId="0" fontId="11" fillId="233" borderId="21" xfId="0" applyNumberFormat="1" applyFont="1" applyFill="1" applyBorder="1" applyAlignment="1">
      <x:alignment horizontal="center" vertical="top" wrapText="1"/>
    </x:xf>
    <x:xf numFmtId="0" fontId="11" fillId="233" borderId="22" xfId="0" applyNumberFormat="1" applyFont="1" applyFill="1" applyBorder="1" applyAlignment="1">
      <x:alignment horizontal="center" vertical="top" wrapText="1"/>
    </x:xf>
    <x:xf numFmtId="201" fontId="11" fillId="233" borderId="22" xfId="0" applyNumberFormat="1" applyFont="1" applyFill="1" applyBorder="1" applyAlignment="1">
      <x:alignment horizontal="center" vertical="top" wrapText="1"/>
    </x:xf>
    <x:xf numFmtId="0" fontId="11" fillId="233" borderId="22" xfId="0" applyNumberFormat="1" applyFont="1" applyFill="1" applyBorder="1" applyAlignment="1">
      <x:alignment vertical="top" wrapText="1"/>
    </x:xf>
    <x:xf numFmtId="0" fontId="11" fillId="233" borderId="23" xfId="0" applyNumberFormat="1" applyFont="1" applyFill="1" applyBorder="1" applyAlignment="1">
      <x:alignment vertical="top" wrapText="1"/>
    </x:xf>
    <x:xf numFmtId="0" fontId="11" fillId="232" borderId="0" xfId="0" applyNumberFormat="1" applyFont="1" applyFill="1" applyBorder="1" applyAlignment="1">
      <x:alignment horizontal="center" vertical="top" wrapText="1"/>
    </x:xf>
    <x:xf numFmtId="201" fontId="11" fillId="232" borderId="0" xfId="0" applyNumberFormat="1" applyFont="1" applyFill="1" applyBorder="1" applyAlignment="1">
      <x:alignment horizontal="center" vertical="top" wrapText="1"/>
    </x:xf>
    <x:xf numFmtId="0" fontId="11" fillId="232" borderId="0" xfId="0" applyNumberFormat="1" applyFont="1" applyFill="1" applyBorder="1" applyAlignment="1">
      <x:alignment vertical="top" wrapText="1"/>
    </x:xf>
    <x:xf numFmtId="0" fontId="11" fillId="233" borderId="0" xfId="0" applyNumberFormat="1" applyFont="1" applyFill="1" applyBorder="1" applyAlignment="1">
      <x:alignment horizontal="center" vertical="top" wrapText="1"/>
    </x:xf>
    <x:xf numFmtId="201" fontId="11" fillId="233" borderId="0" xfId="0" applyNumberFormat="1" applyFont="1" applyFill="1" applyBorder="1" applyAlignment="1">
      <x:alignment horizontal="center" vertical="top" wrapText="1"/>
    </x:xf>
    <x:xf numFmtId="0" fontId="11" fillId="233" borderId="0" xfId="0" applyNumberFormat="1" applyFont="1" applyFill="1" applyBorder="1" applyAlignment="1">
      <x:alignment vertical="top" wrapText="1"/>
    </x:xf>
    <x:xf numFmtId="0" fontId="11" fillId="232" borderId="15" xfId="0" applyNumberFormat="1" applyFont="1" applyFill="1" applyBorder="1" applyAlignment="1">
      <x:alignment horizontal="center" vertical="top" wrapText="1"/>
    </x:xf>
    <x:xf numFmtId="0" fontId="11" fillId="234" borderId="15" xfId="0" applyNumberFormat="1" applyFont="1" applyFill="1" applyBorder="1" applyAlignment="1">
      <x:alignment horizontal="center" vertical="top" wrapText="1"/>
    </x:xf>
    <x:xf numFmtId="0" fontId="11" fillId="234" borderId="16" xfId="0" applyNumberFormat="1" applyFont="1" applyFill="1" applyBorder="1" applyAlignment="1">
      <x:alignment horizontal="center" vertical="top" wrapText="1"/>
    </x:xf>
    <x:xf numFmtId="0" fontId="11" fillId="234" borderId="16" xfId="0" applyNumberFormat="1" applyFont="1" applyFill="1" applyBorder="1" applyAlignment="1">
      <x:alignment vertical="top" wrapText="1"/>
    </x:xf>
    <x:xf numFmtId="0" fontId="11" fillId="234" borderId="17" xfId="0" applyNumberFormat="1" applyFont="1" applyFill="1" applyBorder="1" applyAlignment="1">
      <x:alignment vertical="top" wrapText="1"/>
    </x:xf>
    <x:xf numFmtId="0" fontId="11" fillId="234" borderId="18" xfId="0" applyNumberFormat="1" applyFont="1" applyFill="1" applyBorder="1" applyAlignment="1">
      <x:alignment horizontal="center" vertical="top" wrapText="1"/>
    </x:xf>
    <x:xf numFmtId="0" fontId="11" fillId="234" borderId="19" xfId="0" applyNumberFormat="1" applyFont="1" applyFill="1" applyBorder="1" applyAlignment="1">
      <x:alignment horizontal="center" vertical="top" wrapText="1"/>
    </x:xf>
    <x:xf numFmtId="0" fontId="11" fillId="234" borderId="19" xfId="0" applyNumberFormat="1" applyFont="1" applyFill="1" applyBorder="1" applyAlignment="1">
      <x:alignment vertical="top" wrapText="1"/>
    </x:xf>
    <x:xf numFmtId="0" fontId="11" fillId="234" borderId="20" xfId="0" applyNumberFormat="1" applyFont="1" applyFill="1" applyBorder="1" applyAlignment="1">
      <x:alignment vertical="top" wrapText="1"/>
    </x:xf>
    <x:xf numFmtId="0" fontId="11" fillId="234" borderId="0" xfId="0" applyNumberFormat="1" applyFont="1" applyFill="1" applyBorder="1" applyAlignment="1">
      <x:alignment horizontal="center" vertical="top" wrapText="1"/>
    </x:xf>
    <x:xf numFmtId="0" fontId="11" fillId="234" borderId="0" xfId="0" applyNumberFormat="1" applyFont="1" applyFill="1" applyBorder="1" applyAlignment="1">
      <x:alignment vertical="top" wrapText="1"/>
    </x:xf>
    <x:xf numFmtId="200" fontId="11" fillId="232" borderId="16" xfId="0" applyNumberFormat="1" applyFont="1" applyFill="1" applyBorder="1" applyAlignment="1">
      <x:alignment horizontal="center" vertical="top" wrapText="1"/>
    </x:xf>
    <x:xf numFmtId="200" fontId="11" fillId="233" borderId="19" xfId="0" applyNumberFormat="1" applyFont="1" applyFill="1" applyBorder="1" applyAlignment="1">
      <x:alignment horizontal="center" vertical="top" wrapText="1"/>
    </x:xf>
    <x:xf numFmtId="200" fontId="11" fillId="232" borderId="19" xfId="0" applyNumberFormat="1" applyFont="1" applyFill="1" applyBorder="1" applyAlignment="1">
      <x:alignment horizontal="center" vertical="top" wrapText="1"/>
    </x:xf>
    <x:xf numFmtId="0" fontId="1" fillId="235" borderId="0" xfId="0" applyNumberFormat="1" applyFont="1" applyFill="1" applyBorder="1" applyAlignment="1">
      <x:alignment horizontal="left" vertical="center"/>
    </x:xf>
    <x:xf numFmtId="0" fontId="14" fillId="232" borderId="11" xfId="0" applyNumberFormat="1" applyFont="1" applyFill="1" applyBorder="1" applyAlignment="1">
      <x:alignment vertical="center" wrapText="1"/>
    </x:xf>
    <x:xf numFmtId="202" fontId="13" fillId="232" borderId="11" xfId="0" applyNumberFormat="1" applyFont="1" applyFill="1" applyBorder="1" applyAlignment="1">
      <x:alignment vertical="center" wrapText="1"/>
    </x:xf>
    <x:xf numFmtId="0" fontId="13" fillId="232" borderId="11" xfId="0" applyNumberFormat="1" applyFont="1" applyFill="1" applyBorder="1" applyAlignment="1">
      <x:alignment vertical="center" wrapText="1"/>
    </x:xf>
    <x:xf numFmtId="0" fontId="15" fillId="236" borderId="0" xfId="0" applyNumberFormat="1" applyFont="1" applyFill="1" applyBorder="1" applyAlignment="1">
      <x:alignment vertical="center" wrapText="1"/>
    </x:xf>
    <x:xf numFmtId="0" fontId="16" fillId="232" borderId="11" xfId="0" applyNumberFormat="1" applyFont="1" applyFill="1" applyBorder="1" applyAlignment="1">
      <x:alignment horizontal="center" vertical="center"/>
    </x:xf>
    <x:xf numFmtId="0" fontId="16" fillId="233" borderId="11" xfId="0" applyNumberFormat="1" applyFont="1" applyFill="1" applyBorder="1" applyAlignment="1">
      <x:alignment horizontal="center" vertical="center"/>
    </x:xf>
    <x:xf numFmtId="203" fontId="16" fillId="233" borderId="11" xfId="0" applyNumberFormat="1" applyFont="1" applyFill="1" applyBorder="1" applyAlignment="1">
      <x:alignment horizontal="center" vertical="center"/>
    </x:xf>
    <x:xf numFmtId="0" fontId="17" fillId="237" borderId="12" xfId="0" applyNumberFormat="1" applyFont="1" applyFill="1" applyBorder="1" applyAlignment="1">
      <x:alignment vertical="center" wrapText="1"/>
    </x:xf>
    <x:xf numFmtId="0" fontId="18" fillId="238" borderId="13" xfId="0" applyNumberFormat="1" applyFont="1" applyFill="1" applyBorder="1" applyAlignment="1">
      <x:alignment horizontal="center" vertical="center" wrapText="1"/>
    </x:xf>
    <x:xf numFmtId="0" fontId="11" fillId="239" borderId="14" xfId="0" applyNumberFormat="1" applyFont="1" applyFill="1" applyBorder="1" applyAlignment="1">
      <x:alignment vertical="top" wrapText="1"/>
    </x:xf>
    <x:xf numFmtId="204" fontId="11" fillId="239" borderId="14" xfId="0" applyNumberFormat="1" applyFont="1" applyFill="1" applyBorder="1" applyAlignment="1">
      <x:alignment vertical="top" wrapText="1"/>
    </x:xf>
    <x:xf numFmtId="0" fontId="11" fillId="239" borderId="14" xfId="0" applyNumberFormat="1" applyFont="1" applyFill="1" applyBorder="1" applyAlignment="1">
      <x:alignment horizontal="center" vertical="top" wrapText="1"/>
    </x:xf>
    <x:xf numFmtId="0" fontId="11" fillId="233" borderId="14" xfId="0" applyNumberFormat="1" applyFont="1" applyFill="1" applyBorder="1" applyAlignment="1">
      <x:alignment vertical="top" wrapText="1"/>
    </x:xf>
    <x:xf numFmtId="204" fontId="11" fillId="233" borderId="14" xfId="0" applyNumberFormat="1" applyFont="1" applyFill="1" applyBorder="1" applyAlignment="1">
      <x:alignment vertical="top" wrapText="1"/>
    </x:xf>
    <x:xf numFmtId="0" fontId="11" fillId="233" borderId="14" xfId="0" applyNumberFormat="1" applyFont="1" applyFill="1" applyBorder="1" applyAlignment="1">
      <x:alignment horizontal="center" vertical="top" wrapText="1"/>
    </x:xf>
    <x:xf numFmtId="0" fontId="11" fillId="239" borderId="0" xfId="0" applyNumberFormat="1" applyFont="1" applyFill="1" applyBorder="1" applyAlignment="1">
      <x:alignment vertical="top" wrapText="1"/>
    </x:xf>
    <x:xf numFmtId="204" fontId="11" fillId="239" borderId="0" xfId="0" applyNumberFormat="1" applyFont="1" applyFill="1" applyBorder="1" applyAlignment="1">
      <x:alignment vertical="top" wrapText="1"/>
    </x:xf>
    <x:xf numFmtId="0" fontId="11" fillId="239" borderId="0" xfId="0" applyNumberFormat="1" applyFont="1" applyFill="1" applyBorder="1" applyAlignment="1">
      <x:alignment horizontal="center" vertical="top" wrapText="1"/>
    </x:xf>
    <x:xf numFmtId="204" fontId="11" fillId="233" borderId="0" xfId="0" applyNumberFormat="1" applyFont="1" applyFill="1" applyBorder="1" applyAlignment="1">
      <x:alignment vertical="top" wrapText="1"/>
    </x:xf>
    <x:xf numFmtId="0" fontId="1" fillId="235" borderId="0" xfId="0" applyNumberFormat="1" applyFont="1" applyFill="1" applyBorder="1" applyAlignment="1">
      <x:alignment vertical="center"/>
    </x:xf>
    <x:xf numFmtId="0" fontId="13" fillId="232" borderId="0" xfId="0" applyNumberFormat="1" applyFont="1" applyFill="1" applyBorder="1" applyAlignment="1">
      <x:alignment vertical="center" wrapText="1"/>
    </x:xf>
    <x:xf numFmtId="0" fontId="3" fillId="231" borderId="0" xfId="0" applyNumberFormat="1" applyFont="1" applyFill="1" applyBorder="1" applyAlignment="1">
      <x:alignment horizontal="center" vertical="center" wrapText="1"/>
    </x:xf>
    <x:xf numFmtId="204" fontId="11" fillId="239" borderId="0" xfId="0" applyNumberFormat="1" applyFont="1" applyFill="1" applyBorder="1" applyAlignment="1">
      <x:alignment horizontal="center" vertical="top" wrapText="1"/>
    </x:xf>
    <x:xf numFmtId="204" fontId="11" fillId="233" borderId="0" xfId="0" applyNumberFormat="1" applyFont="1" applyFill="1" applyBorder="1" applyAlignment="1">
      <x:alignment horizontal="center" vertical="top" wrapText="1"/>
    </x:xf>
    <x:xf numFmtId="0" fontId="20" fillId="240" borderId="10" xfId="0" applyNumberFormat="1" applyFont="1" applyFill="1" applyBorder="1" applyAlignment="1">
      <x:alignment vertical="top" wrapText="1"/>
    </x:xf>
    <x:xf numFmtId="0" fontId="20" fillId="240" borderId="10" xfId="0" applyNumberFormat="1" applyFont="1" applyFill="1" applyBorder="1"/>
    <x:xf numFmtId="0" fontId="20" fillId="240" borderId="10" xfId="0" applyNumberFormat="1" applyFont="1" applyFill="1" applyBorder="1" applyAlignment="1">
      <x:alignment wrapText="1"/>
    </x:xf>
    <x:xf numFmtId="0" fontId="20" fillId="240" borderId="10" xfId="0" applyNumberFormat="1" applyFont="1" applyFill="1" applyBorder="1" applyAlignment="1">
      <x:alignment vertical="center" wrapText="1"/>
    </x:xf>
    <x:xf numFmtId="0" fontId="40" fillId="240" borderId="10" xfId="0" applyNumberFormat="1" applyFont="1" applyFill="1" applyBorder="1" applyAlignment="1">
      <x:alignment vertical="top" wrapText="1"/>
    </x:xf>
    <x:xf numFmtId="0" fontId="40" fillId="240" borderId="10" xfId="0" applyNumberFormat="1" applyFont="1" applyFill="1" applyBorder="1"/>
    <x:xf numFmtId="0" fontId="40" fillId="240" borderId="10" xfId="0" applyNumberFormat="1" applyFont="1" applyFill="1" applyBorder="1" applyAlignment="1">
      <x:alignment wrapText="1"/>
    </x:xf>
    <x:xf numFmtId="0" fontId="40" fillId="24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2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BF9000"/>
      </x:font>
    </x:dxf>
    <x:dxf>
      <x:font>
        <x:b/>
        <x:color rgb="FF666666"/>
      </x:font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FFC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33333"/>
      </x:font>
      <x:fill>
        <x:patternFill patternType="solid">
          <x:bgColor rgb="FFFFC000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D9D9D9"/>
        </x:patternFill>
      </x:fill>
    </x:dxf>
    <x:dxf>
      <x:font>
        <x:b/>
        <x:color rgb="FFC65911"/>
      </x:font>
    </x:dxf>
    <x:dxf>
      <x:font>
        <x:b/>
        <x:color rgb="FF548235"/>
      </x:font>
    </x:dxf>
    <x:dxf>
      <x:font>
        <x:b/>
        <x:color rgb="FF666666"/>
      </x:font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39a7e9b3f4741" /><Relationship Type="http://schemas.openxmlformats.org/officeDocument/2006/relationships/theme" Target="/xl/theme/theme1.xml" Id="Re9bfb71ae46f4e1e" /><Relationship Type="http://schemas.openxmlformats.org/officeDocument/2006/relationships/sharedStrings" Target="/xl/sharedStrings.xml" Id="R74c5e336f422408e" /><Relationship Type="http://schemas.openxmlformats.org/officeDocument/2006/relationships/worksheet" Target="/xl/worksheets/sheet1.xml" Id="Ra84b40b6ad5d4340" /><Relationship Type="http://schemas.openxmlformats.org/officeDocument/2006/relationships/worksheet" Target="/xl/worksheets/sheet2.xml" Id="R33cef4d7993a48ba" /><Relationship Type="http://schemas.openxmlformats.org/officeDocument/2006/relationships/worksheet" Target="/xl/worksheets/sheet3.xml" Id="R68dd384da8f8443d" /><Relationship Type="http://schemas.openxmlformats.org/officeDocument/2006/relationships/worksheet" Target="/xl/worksheets/sheet4.xml" Id="Rc51b413875394088" /><Relationship Type="http://schemas.openxmlformats.org/officeDocument/2006/relationships/worksheet" Target="/xl/worksheets/sheet5.xml" Id="Re6e3dfe31f774e4b" /><Relationship Type="http://schemas.openxmlformats.org/officeDocument/2006/relationships/worksheet" Target="/xl/worksheets/sheet6.xml" Id="R482de986337b439f" /><Relationship Type="http://schemas.openxmlformats.org/officeDocument/2006/relationships/worksheet" Target="/xl/worksheets/sheet7.xml" Id="Rdd80a67876674b63" /><Relationship Type="http://schemas.openxmlformats.org/officeDocument/2006/relationships/worksheet" Target="/xl/worksheets/sheet8.xml" Id="R7791019dc1294b26" /><Relationship Type="http://schemas.openxmlformats.org/officeDocument/2006/relationships/worksheet" Target="/xl/worksheets/sheet9.xml" Id="Ree48089e502c4c86" /><Relationship Type="http://schemas.openxmlformats.org/officeDocument/2006/relationships/worksheet" Target="/xl/worksheets/sheet10.xml" Id="R56ff98a35e424667" /><Relationship Type="http://schemas.openxmlformats.org/officeDocument/2006/relationships/worksheet" Target="/xl/worksheets/sheet11.xml" Id="Rd7c1c321b5d94987" /></Relationships>
</file>

<file path=xl/tables/table1.xml><?xml version="1.0" encoding="utf-8"?>
<x:table xmlns:x="http://schemas.openxmlformats.org/spreadsheetml/2006/main" id="192" name="OptimizationV3Table0825" displayName="OptimizationV3Table0825" ref="A4:P22" headerRowCount="1" totalsRowCount="0" totalsRowShown="0">
  <x:autoFilter ref="A4:P22"/>
  <x:tableColumns count="16">
    <x:tableColumn id="1" name="V3优先级"/>
    <x:tableColumn id="2" name="PR"/>
    <x:tableColumn id="3" name="合入日期"/>
    <x:tableColumn id="4" name="分类"/>
    <x:tableColumn id="5" name="优化点"/>
    <x:tableColumn id="6" name="Ascend价值"/>
    <x:tableColumn id="7" name="V3迁移策略"/>
    <x:tableColumn id="8" name="目标Ascend模块"/>
    <x:tableColumn id="9" name="Patch冲突"/>
    <x:tableColumn id="10" name="第一责任人"/>
    <x:tableColumn id="11" name="五类最终结论"/>
    <x:tableColumn id="12" name="结论差异"/>
    <x:tableColumn id="13" name="工作量"/>
    <x:tableColumn id="14" name="风险"/>
    <x:tableColumn id="15" name="关键文件"/>
    <x:tableColumn id="16" name="PR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93" name="ActionV3Table0825" displayName="ActionV3Table0825" ref="A4:K6" headerRowCount="1" totalsRowCount="0" totalsRowShown="0">
  <x:autoFilter ref="A4:K6"/>
  <x:tableColumns count="11">
    <x:tableColumn id="1" name="优先级"/>
    <x:tableColumn id="2" name="PR"/>
    <x:tableColumn id="3" name="第一责任人"/>
    <x:tableColumn id="4" name="优化点"/>
    <x:tableColumn id="5" name="目标模块"/>
    <x:tableColumn id="6" name="迁移步骤"/>
    <x:tableColumn id="7" name="验证场景"/>
    <x:tableColumn id="8" name="V3结论"/>
    <x:tableColumn id="9" name="精确复核"/>
    <x:tableColumn id="10" name="结论差异"/>
    <x:tableColumn id="11" name="Review摘要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194" name="SkipV3Table0825" displayName="SkipV3Table0825" ref="A4:H5" headerRowCount="1" totalsRowCount="0" totalsRowShown="0">
  <x:autoFilter ref="A4:H5"/>
  <x:tableColumns count="8">
    <x:tableColumn id="1" name="PR"/>
    <x:tableColumn id="2" name="合入日期"/>
    <x:tableColumn id="3" name="第一责任人"/>
    <x:tableColumn id="4" name="优化点"/>
    <x:tableColumn id="5" name="分类"/>
    <x:tableColumn id="6" name="跳过原因"/>
    <x:tableColumn id="7" name="可借鉴点"/>
    <x:tableColumn id="8" name="Review摘要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95" name="ExactReviewTable0825" displayName="ExactReviewTable0825" ref="A4:I22" headerRowCount="1" totalsRowCount="0" totalsRowShown="0">
  <x:autoFilter ref="A4:I22"/>
  <x:tableColumns count="9">
    <x:tableColumn id="1" name="PR"/>
    <x:tableColumn id="2" name="V3结论"/>
    <x:tableColumn id="3" name="架构候选/真实Patch键"/>
    <x:tableColumn id="4" name="目标模块"/>
    <x:tableColumn id="5" name="精确代码结论"/>
    <x:tableColumn id="6" name="精确原因"/>
    <x:tableColumn id="7" name="新增接口断点"/>
    <x:tableColumn id="8" name="V3判定依据摘要"/>
    <x:tableColumn id="9" name="最终执行口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96" name="TestBenefitTable0825" displayName="TestBenefitTable0825" ref="A4:F22" headerRowCount="1" totalsRowCount="0" totalsRowShown="0">
  <x:autoFilter ref="A4:F22"/>
  <x:tableColumns count="6">
    <x:tableColumn id="1" name="PR"/>
    <x:tableColumn id="2" name="第一责任人"/>
    <x:tableColumn id="3" name="上游测试条件"/>
    <x:tableColumn id="4" name="PR可核验结果"/>
    <x:tableColumn id="5" name="NPU验证方案"/>
    <x:tableColumn id="6" name="关注KPI"/>
  </x:tableColumns>
  <x:tableStyleInfo name="TableStyleMedium7" showFirstColumn="0" showLastColumn="0" showRowStripes="1" showColumnStripes="0"/>
</x:table>
</file>

<file path=xl/tables/table6.xml><?xml version="1.0" encoding="utf-8"?>
<x:table xmlns:x="http://schemas.openxmlformats.org/spreadsheetml/2006/main" id="197" name="ReviewEvidenceTable0825" displayName="ReviewEvidenceTable0825" ref="A4:G22" headerRowCount="1" totalsRowCount="0" totalsRowShown="0">
  <x:autoFilter ref="A4:G22"/>
  <x:tableColumns count="7">
    <x:tableColumn id="1" name="PR"/>
    <x:tableColumn id="2" name="标题"/>
    <x:tableColumn id="3" name="Review正文数"/>
    <x:tableColumn id="4" name="行级评论数"/>
    <x:tableColumn id="5" name="Issue评论数"/>
    <x:tableColumn id="6" name="影响结论的Review摘要"/>
    <x:tableColumn id="7" name="原始证据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98" name="PipelineInfoTable0825" displayName="PipelineInfoTable0825" ref="A4:C32" headerRowCount="1" totalsRowCount="0" totalsRowShown="0">
  <x:autoFilter ref="A4:C32"/>
  <x:tableColumns count="3">
    <x:tableColumn id="1" name="项目"/>
    <x:tableColumn id="2" name="值"/>
    <x:tableColumn id="3" name="来源/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00" name="AllPRAnalysisTable0825" displayName="AllPRAnalysisTable0825" ref="A4:J56" headerRowCount="1" totalsRowCount="0" totalsRowShown="0">
  <x:autoFilter ref="A4:J56"/>
  <x:tableColumns count="10">
    <x:tableColumn id="1" name="PR"/>
    <x:tableColumn id="2" name="合入时间"/>
    <x:tableColumn id="3" name="PR标题"/>
    <x:tableColumn id="4" name="标签/类型"/>
    <x:tableColumn id="5" name="解决什么问题"/>
    <x:tableColumn id="6" name="解决方案"/>
    <x:tableColumn id="7" name="为什么这么修改"/>
    <x:tableColumn id="8" name="是否为Bugfix"/>
    <x:tableColumn id="9" name="关键文件"/>
    <x:tableColumn id="10" name="PR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99" name="FeatureInterfaceTable0827" displayName="FeatureInterfaceTable0827" ref="A4:P20" headerRowCount="1" totalsRowCount="0" totalsRowShown="0">
  <x:autoFilter ref="A4:P20"/>
  <x:tableColumns count="16">
    <x:tableColumn id="1" name="记录ID"/>
    <x:tableColumn id="2" name="PR"/>
    <x:tableColumn id="3" name="合入时间"/>
    <x:tableColumn id="4" name="标题"/>
    <x:tableColumn id="5" name="分类"/>
    <x:tableColumn id="6" name="解决的问题"/>
    <x:tableColumn id="7" name="上游方案"/>
    <x:tableColumn id="8" name="修改原因"/>
    <x:tableColumn id="9" name="关键文件"/>
    <x:tableColumn id="10" name="Ascend有效关系"/>
    <x:tableColumn id="11" name="Ascend结论"/>
    <x:tableColumn id="12" name="建议动作"/>
    <x:tableColumn id="13" name="优先级"/>
    <x:tableColumn id="14" name="状态"/>
    <x:tableColumn id="15" name="第一责任人"/>
    <x:tableColumn id="16" name="PR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344a9dc30d48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ac96689a0849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0421734e2742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8f7647a5a842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a3d636f1dd6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de951d3cc244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0a797a459bf46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9893948a9154a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6e0b131c7845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0" hidden="0" customWidth="1"/>
    <x:col min="5" max="5" width="52" hidden="0" customWidth="1"/>
    <x:col min="6" max="6" width="12" hidden="0" customWidth="1"/>
    <x:col min="7" max="7" width="17" hidden="0" customWidth="1"/>
    <x:col min="8" max="8" width="20" hidden="0" customWidth="1"/>
    <x:col min="9" max="9" width="12" hidden="0" customWidth="1"/>
    <x:col min="10" max="10" width="14" hidden="0" customWidth="1"/>
    <x:col min="11" max="11" width="24" hidden="0" customWidth="1"/>
    <x:col min="12" max="12" width="18" hidden="0" customWidth="1"/>
    <x:col min="13" max="13" width="14" hidden="0" customWidth="1"/>
    <x:col min="14" max="14" width="18" hidden="0" customWidth="1"/>
    <x:col min="15" max="15" width="48" hidden="0" customWidth="1"/>
    <x:col min="16" max="16" width="30" hidden="0" customWidth="1"/>
  </x:cols>
  <x:sheetData>
    <x:row r="1" ht="30" customHeight="1">
      <x:c r="A1" s="4" t="str">
        <x:v>vLLM 上游优化分析｜main-lys V3｜成功水位至本次触发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8" t="str">
        <x:v>区间：[2026-09-22 01:00:58.960, 2026-09-23 01:01:54.707) Asia/Hong_Kong ｜ 全部合入PR 52条，优化18条 ｜ 流程：AI语义分析→main-lys V3归类→pinned源码精确复核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4" customHeight="1">
      <x:c r="A4" s="1924" t="str">
        <x:v>V3优先级</x:v>
      </x:c>
      <x:c r="B4" s="1924" t="str">
        <x:v>PR</x:v>
      </x:c>
      <x:c r="C4" s="1924" t="str">
        <x:v>合入日期</x:v>
      </x:c>
      <x:c r="D4" s="1924" t="str">
        <x:v>分类</x:v>
      </x:c>
      <x:c r="E4" s="1924" t="str">
        <x:v>优化点</x:v>
      </x:c>
      <x:c r="F4" s="1924" t="str">
        <x:v>Ascend价值</x:v>
      </x:c>
      <x:c r="G4" s="1924" t="str">
        <x:v>V3迁移策略</x:v>
      </x:c>
      <x:c r="H4" s="1924" t="str">
        <x:v>目标Ascend模块</x:v>
      </x:c>
      <x:c r="I4" s="1924" t="str">
        <x:v>Patch冲突</x:v>
      </x:c>
      <x:c r="J4" s="1924" t="str">
        <x:v>第一责任人</x:v>
      </x:c>
      <x:c r="K4" s="1924" t="str">
        <x:v>五类最终结论</x:v>
      </x:c>
      <x:c r="L4" s="1924" t="str">
        <x:v>结论差异</x:v>
      </x:c>
      <x:c r="M4" s="1924" t="str">
        <x:v>工作量</x:v>
      </x:c>
      <x:c r="N4" s="1924" t="str">
        <x:v>风险</x:v>
      </x:c>
      <x:c r="O4" s="1924" t="str">
        <x:v>关键文件</x:v>
      </x:c>
      <x:c r="P4" s="1924" t="str">
        <x:v>PR证据</x:v>
      </x:c>
    </x:row>
    <x:row r="5" ht="70" customHeight="1">
      <x:c r="A5" s="1925" t="str">
        <x:v>P2</x:v>
      </x:c>
      <x:c r="B5" s="1926" t="str">
        <x:v>#54185</x:v>
      </x:c>
      <x:c r="C5" s="1927" t="n">
        <x:v>46287</x:v>
      </x:c>
      <x:c r="D5" s="1926" t="str">
        <x:v>moe-fusion</x:v>
      </x:c>
      <x:c r="E5" s="1926" t="str">
        <x:v>共享专家gate采用平台优化GEMM分派</x:v>
      </x:c>
      <x:c r="F5" s="1926" t="str">
        <x:v>medium</x:v>
      </x:c>
      <x:c r="G5" s="1926" t="str">
        <x:v>idea-copy</x:v>
      </x:c>
      <x:c r="H5" s="1926" t="str">
        <x:v>csrc/moe</x:v>
      </x:c>
      <x:c r="I5" s="1926" t="str">
        <x:v>否</x:v>
      </x:c>
      <x:c r="J5" s="1926" t="str">
        <x:v>魏谨谦</x:v>
      </x:c>
      <x:c r="K5" s="1926" t="str">
        <x:v>平台差异可借鉴</x:v>
      </x:c>
      <x:c r="L5" s="1926" t="str">
        <x:v>无差异</x:v>
      </x:c>
      <x:c r="M5" s="1926" t="str">
        <x:v>M</x:v>
      </x:c>
      <x:c r="N5" s="1926" t="str">
        <x:v>medium-risk</x:v>
      </x:c>
      <x:c r="O5" s="1928" t="str">
        <x:v>vllm/model_executor/layers/fused_moe/runner/moe_runner.py</x:v>
      </x:c>
      <x:c r="P5" s="1929" t="str">
        <x:v>https://github.com/vllm-project/vllm/pull/54185</x:v>
      </x:c>
    </x:row>
    <x:row r="6" ht="70" customHeight="1">
      <x:c r="A6" s="1930" t="str">
        <x:v>P2</x:v>
      </x:c>
      <x:c r="B6" s="1931" t="str">
        <x:v>#55608</x:v>
      </x:c>
      <x:c r="C6" s="1932" t="n">
        <x:v>46287</x:v>
      </x:c>
      <x:c r="D6" s="1931" t="str">
        <x:v>test-ci</x:v>
      </x:c>
      <x:c r="E6" s="1931" t="str">
        <x:v>镜像zstd压缩缩短拉取与首次响应</x:v>
      </x:c>
      <x:c r="F6" s="1931" t="str">
        <x:v>medium</x:v>
      </x:c>
      <x:c r="G6" s="1931" t="str">
        <x:v>idea-copy</x:v>
      </x:c>
      <x:c r="H6" s="1931" t="str">
        <x:v>python-adapter</x:v>
      </x:c>
      <x:c r="I6" s="1931" t="str">
        <x:v>否</x:v>
      </x:c>
      <x:c r="J6" s="1931" t="str">
        <x:v>张新悦</x:v>
      </x:c>
      <x:c r="K6" s="1931" t="str">
        <x:v>收益不明确待验证</x:v>
      </x:c>
      <x:c r="L6" s="1931" t="str">
        <x:v>无差异</x:v>
      </x:c>
      <x:c r="M6" s="1931" t="str">
        <x:v>M</x:v>
      </x:c>
      <x:c r="N6" s="1931" t="str">
        <x:v>medium-risk</x:v>
      </x:c>
      <x:c r="O6" s="1933" t="str">
        <x:v>.buildkite/image_build/image_build.sh; .buildkite/image_build/zstd.hcl; .buildkite/scripts/publish-release-images.sh; .buildkite/scripts/publish-zstd-image.sh</x:v>
      </x:c>
      <x:c r="P6" s="1934" t="str">
        <x:v>https://github.com/vllm-project/vllm/pull/55608</x:v>
      </x:c>
    </x:row>
    <x:row r="7" ht="79.5" customHeight="1">
      <x:c r="A7" s="1935" t="str">
        <x:v>P2</x:v>
      </x:c>
      <x:c r="B7" s="1936" t="str">
        <x:v>#50592</x:v>
      </x:c>
      <x:c r="C7" s="1937" t="n">
        <x:v>46287</x:v>
      </x:c>
      <x:c r="D7" s="1936" t="str">
        <x:v>model-architecture</x:v>
      </x:c>
      <x:c r="E7" s="1936" t="str">
        <x:v>Kimi attention直接返回结果，减少输出搬运</x:v>
      </x:c>
      <x:c r="F7" s="1936" t="str">
        <x:v>medium</x:v>
      </x:c>
      <x:c r="G7" s="1936" t="str">
        <x:v>idea-copy</x:v>
      </x:c>
      <x:c r="H7" s="1936" t="str">
        <x:v>python-adapter</x:v>
      </x:c>
      <x:c r="I7" s="1936" t="str">
        <x:v>否</x:v>
      </x:c>
      <x:c r="J7" s="1936" t="str">
        <x:v>龙钢</x:v>
      </x:c>
      <x:c r="K7" s="1936" t="str">
        <x:v>平台差异可借鉴</x:v>
      </x:c>
      <x:c r="L7" s="1936" t="str">
        <x:v>无差异</x:v>
      </x:c>
      <x:c r="M7" s="1936" t="str">
        <x:v>M</x:v>
      </x:c>
      <x:c r="N7" s="1936" t="str">
        <x:v>medium-risk</x:v>
      </x:c>
      <x:c r="O7" s="1938" t="str">
        <x:v>vllm/model_executor/layers/mamba/gdn/kimi_gdn_linear_attn.py; vllm/models/kimi_k3/amd/kda.py; vllm/models/kimi_k3/amd/linear.py; vllm/models/kimi_k3/nvidia/model.py; tests/models/kimi_k3/test_amd_kda_direct_return.py</x:v>
      </x:c>
      <x:c r="P7" s="1939" t="str">
        <x:v>https://github.com/vllm-project/vllm/pull/50592</x:v>
      </x:c>
    </x:row>
    <x:row r="8" ht="70" customHeight="1">
      <x:c r="A8" s="1930" t="str">
        <x:v>P2</x:v>
      </x:c>
      <x:c r="B8" s="1931" t="str">
        <x:v>#51360</x:v>
      </x:c>
      <x:c r="C8" s="1932" t="n">
        <x:v>46287</x:v>
      </x:c>
      <x:c r="D8" s="1931" t="str">
        <x:v>core-engine</x:v>
      </x:c>
      <x:c r="E8" s="1931" t="str">
        <x:v>初始化快照减少进程重建激活时间</x:v>
      </x:c>
      <x:c r="F8" s="1931" t="str">
        <x:v>medium</x:v>
      </x:c>
      <x:c r="G8" s="1931" t="str">
        <x:v>idea-copy</x:v>
      </x:c>
      <x:c r="H8" s="1931" t="str">
        <x:v>python-adapter</x:v>
      </x:c>
      <x:c r="I8" s="1931" t="str">
        <x:v>否</x:v>
      </x:c>
      <x:c r="J8" s="1931" t="str">
        <x:v>徐驰</x:v>
      </x:c>
      <x:c r="K8" s="1931" t="str">
        <x:v>平台差异可借鉴</x:v>
      </x:c>
      <x:c r="L8" s="1931" t="str">
        <x:v>无差异</x:v>
      </x:c>
      <x:c r="M8" s="1931" t="str">
        <x:v>M</x:v>
      </x:c>
      <x:c r="N8" s="1931" t="str">
        <x:v>medium-risk</x:v>
      </x:c>
      <x:c r="O8" s="1933" t="str">
        <x:v>vllm/entrypoints/cli/main.py; vllm/entrypoints/cli/snapshot.py; vllm/snapshot/__init__.py; vllm/snapshot/controller.py; vllm/snapshot/manifest.py</x:v>
      </x:c>
      <x:c r="P8" s="1934" t="str">
        <x:v>https://github.com/vllm-project/vllm/pull/51360</x:v>
      </x:c>
    </x:row>
    <x:row r="9" ht="70" customHeight="1">
      <x:c r="A9" s="1935" t="str">
        <x:v>P2</x:v>
      </x:c>
      <x:c r="B9" s="1936" t="str">
        <x:v>#57737</x:v>
      </x:c>
      <x:c r="C9" s="1937" t="n">
        <x:v>46287</x:v>
      </x:c>
      <x:c r="D9" s="1936" t="str">
        <x:v>core-engine</x:v>
      </x:c>
      <x:c r="E9" s="1936" t="str">
        <x:v>shutdown解除pooling模型引用</x:v>
      </x:c>
      <x:c r="F9" s="1936" t="str">
        <x:v>medium</x:v>
      </x:c>
      <x:c r="G9" s="1936" t="str">
        <x:v>auto-inherit</x:v>
      </x:c>
      <x:c r="H9" s="1936" t="str">
        <x:v>none</x:v>
      </x:c>
      <x:c r="I9" s="1936" t="str">
        <x:v>否</x:v>
      </x:c>
      <x:c r="J9" s="1936" t="str">
        <x:v>郭小辉</x:v>
      </x:c>
      <x:c r="K9" s="1936" t="str">
        <x:v>直接继承</x:v>
      </x:c>
      <x:c r="L9" s="1936" t="str">
        <x:v>无差异</x:v>
      </x:c>
      <x:c r="M9" s="1936" t="str">
        <x:v>M</x:v>
      </x:c>
      <x:c r="N9" s="1936" t="str">
        <x:v>medium-risk</x:v>
      </x:c>
      <x:c r="O9" s="1938" t="str">
        <x:v>vllm/v1/worker/gpu/model_runner.py</x:v>
      </x:c>
      <x:c r="P9" s="1939" t="str">
        <x:v>https://github.com/vllm-project/vllm/pull/57737</x:v>
      </x:c>
    </x:row>
    <x:row r="10" ht="93" customHeight="1">
      <x:c r="A10" s="1940" t="str">
        <x:v>P2</x:v>
      </x:c>
      <x:c r="B10" s="1931" t="str">
        <x:v>#57965</x:v>
      </x:c>
      <x:c r="C10" s="1932" t="n">
        <x:v>46287</x:v>
      </x:c>
      <x:c r="D10" s="1931" t="str">
        <x:v>test-ci</x:v>
      </x:c>
      <x:c r="E10" s="1931" t="str">
        <x:v>评测按模型拆job缩短CI关键路径</x:v>
      </x:c>
      <x:c r="F10" s="1931" t="str">
        <x:v>medium</x:v>
      </x:c>
      <x:c r="G10" s="1931" t="str">
        <x:v>idea-copy</x:v>
      </x:c>
      <x:c r="H10" s="1931" t="str">
        <x:v>python-adapter</x:v>
      </x:c>
      <x:c r="I10" s="1931" t="str">
        <x:v>否</x:v>
      </x:c>
      <x:c r="J10" s="1931" t="str">
        <x:v>吴文俊</x:v>
      </x:c>
      <x:c r="K10" s="1931" t="str">
        <x:v>收益不明确待验证</x:v>
      </x:c>
      <x:c r="L10" s="1931" t="str">
        <x:v>无差异</x:v>
      </x:c>
      <x:c r="M10" s="1931" t="str">
        <x:v>M</x:v>
      </x:c>
      <x:c r="N10" s="1931" t="str">
        <x:v>medium-risk</x:v>
      </x:c>
      <x:c r="O10" s="1933" t="str">
        <x:v>.buildkite/test_areas/lm_eval.yaml; tests/evals/gsm8k/configs/models-h200-deepseek-r1-dp.txt; tests/evals/gsm8k/configs/models-h200-deepseek-r1-tp.txt; tests/evals/gsm8k/configs/models-h200-deepseek-v32-dp.txt; tests/evals/gsm8k/configs/models-h200-deepseek-v32-tp.txt</x:v>
      </x:c>
      <x:c r="P10" s="1934" t="str">
        <x:v>https://github.com/vllm-project/vllm/pull/57965</x:v>
      </x:c>
    </x:row>
    <x:row r="11" ht="70" customHeight="1">
      <x:c r="A11" s="1941" t="str">
        <x:v>P1</x:v>
      </x:c>
      <x:c r="B11" s="1936" t="str">
        <x:v>#57951</x:v>
      </x:c>
      <x:c r="C11" s="1937" t="n">
        <x:v>46287</x:v>
      </x:c>
      <x:c r="D11" s="1936" t="str">
        <x:v>scheduler</x:v>
      </x:c>
      <x:c r="E11" s="1936" t="str">
        <x:v>单请求prefill取消不必要阈值分块</x:v>
      </x:c>
      <x:c r="F11" s="1936" t="str">
        <x:v>medium</x:v>
      </x:c>
      <x:c r="G11" s="1936" t="str">
        <x:v>patch-sync</x:v>
      </x:c>
      <x:c r="H11" s="1936" t="str">
        <x:v>python-adapter</x:v>
      </x:c>
      <x:c r="I11" s="1936" t="str">
        <x:v>是</x:v>
      </x:c>
      <x:c r="J11" s="1936" t="str">
        <x:v>姜凯强</x:v>
      </x:c>
      <x:c r="K11" s="1936" t="str">
        <x:v>收益明确待适配</x:v>
      </x:c>
      <x:c r="L11" s="1936" t="str">
        <x:v>无差异</x:v>
      </x:c>
      <x:c r="M11" s="1936" t="str">
        <x:v>M</x:v>
      </x:c>
      <x:c r="N11" s="1936" t="str">
        <x:v>medium-risk</x:v>
      </x:c>
      <x:c r="O11" s="1938" t="str">
        <x:v>vllm/config/scheduler.py; vllm/v1/core/sched/scheduler.py; tests/v1/core/test_deferred_block_free.py; tests/v1/core/test_scheduler.py; tests/v1/e2e/general/test_pooling_chunked_prefill.py</x:v>
      </x:c>
      <x:c r="P11" s="1939" t="str">
        <x:v>https://github.com/vllm-project/vllm/pull/57951</x:v>
      </x:c>
    </x:row>
    <x:row r="12" ht="79.5" customHeight="1">
      <x:c r="A12" s="1930" t="str">
        <x:v>P2</x:v>
      </x:c>
      <x:c r="B12" s="1931" t="str">
        <x:v>#57458</x:v>
      </x:c>
      <x:c r="C12" s="1932" t="n">
        <x:v>46287</x:v>
      </x:c>
      <x:c r="D12" s="1931" t="str">
        <x:v>attention-kv-cache</x:v>
      </x:c>
      <x:c r="E12" s="1931" t="str">
        <x:v>NoPE sparse MLA融合索引准备与消除空cat</x:v>
      </x:c>
      <x:c r="F12" s="1931" t="str">
        <x:v>medium</x:v>
      </x:c>
      <x:c r="G12" s="1931" t="str">
        <x:v>idea-copy</x:v>
      </x:c>
      <x:c r="H12" s="1931" t="str">
        <x:v>csrc/attention</x:v>
      </x:c>
      <x:c r="I12" s="1931" t="str">
        <x:v>否</x:v>
      </x:c>
      <x:c r="J12" s="1931" t="str">
        <x:v>朱意霖</x:v>
      </x:c>
      <x:c r="K12" s="1931" t="str">
        <x:v>平台差异可借鉴</x:v>
      </x:c>
      <x:c r="L12" s="1931" t="str">
        <x:v>无差异</x:v>
      </x:c>
      <x:c r="M12" s="1931" t="str">
        <x:v>M</x:v>
      </x:c>
      <x:c r="N12" s="1931" t="str">
        <x:v>medium-risk</x:v>
      </x:c>
      <x:c r="O12" s="1933" t="str">
        <x:v>vllm/model_executor/layers/attention/mla_attention.py; vllm/v1/attention/backends/mla/flashinfer_mla_sparse.py; vllm/v1/attention/backends/mla/sparse_utils.py; tests/kernels/attention/test_flashinfer_mla_decode.py; tests/kernels/test_concat_mla_q.py</x:v>
      </x:c>
      <x:c r="P12" s="1934" t="str">
        <x:v>https://github.com/vllm-project/vllm/pull/57458</x:v>
      </x:c>
    </x:row>
    <x:row r="13" ht="79.5" customHeight="1">
      <x:c r="A13" s="1941" t="str">
        <x:v>P2</x:v>
      </x:c>
      <x:c r="B13" s="1936" t="str">
        <x:v>#57312</x:v>
      </x:c>
      <x:c r="C13" s="1937" t="n">
        <x:v>46287</x:v>
      </x:c>
      <x:c r="D13" s="1936" t="str">
        <x:v>core-engine</x:v>
      </x:c>
      <x:c r="E13" s="1936" t="str">
        <x:v>draft独立daemon缓存避免重复加载</x:v>
      </x:c>
      <x:c r="F13" s="1936" t="str">
        <x:v>medium</x:v>
      </x:c>
      <x:c r="G13" s="1936" t="str">
        <x:v>idea-copy</x:v>
      </x:c>
      <x:c r="H13" s="1936" t="str">
        <x:v>python-adapter</x:v>
      </x:c>
      <x:c r="I13" s="1936" t="str">
        <x:v>否</x:v>
      </x:c>
      <x:c r="J13" s="1936" t="str">
        <x:v>徐驰</x:v>
      </x:c>
      <x:c r="K13" s="1936" t="str">
        <x:v>平台差异可借鉴</x:v>
      </x:c>
      <x:c r="L13" s="1936" t="str">
        <x:v>无差异</x:v>
      </x:c>
      <x:c r="M13" s="1936" t="str">
        <x:v>M</x:v>
      </x:c>
      <x:c r="N13" s="1936" t="str">
        <x:v>medium-risk</x:v>
      </x:c>
      <x:c r="O13" s="1938" t="str">
        <x:v>vllm/config/speculative.py; vllm/model_executor/model_loader/utils.py; vllm/model_executor/model_loader/weight_cache/__init__.py; vllm/model_executor/model_loader/weight_cache/daemon.py; vllm/model_executor/model_loader/weight_cache/ipc_loader.py</x:v>
      </x:c>
      <x:c r="P13" s="1939" t="str">
        <x:v>https://github.com/vllm-project/vllm/pull/57312</x:v>
      </x:c>
    </x:row>
    <x:row r="14" ht="70" customHeight="1">
      <x:c r="A14" s="1942" t="str">
        <x:v>P1</x:v>
      </x:c>
      <x:c r="B14" s="1943" t="str">
        <x:v>#57891</x:v>
      </x:c>
      <x:c r="C14" s="1944" t="n">
        <x:v>46287</x:v>
      </x:c>
      <x:c r="D14" s="1943" t="str">
        <x:v>core-engine</x:v>
      </x:c>
      <x:c r="E14" s="1943" t="str">
        <x:v>睡眠保留冻结参数，减少不必要权重重传</x:v>
      </x:c>
      <x:c r="F14" s="1943" t="str">
        <x:v>medium</x:v>
      </x:c>
      <x:c r="G14" s="1943" t="str">
        <x:v>patch-sync</x:v>
      </x:c>
      <x:c r="H14" s="1943" t="str">
        <x:v>python-adapter</x:v>
      </x:c>
      <x:c r="I14" s="1943" t="str">
        <x:v>是</x:v>
      </x:c>
      <x:c r="J14" s="1943" t="str">
        <x:v>刘荣</x:v>
      </x:c>
      <x:c r="K14" s="1943" t="str">
        <x:v>收益明确待适配</x:v>
      </x:c>
      <x:c r="L14" s="1943" t="str">
        <x:v>无差异</x:v>
      </x:c>
      <x:c r="M14" s="1943" t="str">
        <x:v>M</x:v>
      </x:c>
      <x:c r="N14" s="1943" t="str">
        <x:v>medium-risk</x:v>
      </x:c>
      <x:c r="O14" s="1945" t="str">
        <x:v>vllm/config/model.py; vllm/engine/arg_utils.py; vllm/v1/worker/gpu_worker.py; docs/features/sleep_mode.md; tests/v1/worker/test_sleep_mode_backend.py</x:v>
      </x:c>
      <x:c r="P14" s="1946" t="str">
        <x:v>https://github.com/vllm-project/vllm/pull/57891</x:v>
      </x:c>
    </x:row>
    <x:row r="15" ht="70" customHeight="1">
      <x:c r="A15" s="1947" t="str">
        <x:v>P2</x:v>
      </x:c>
      <x:c r="B15" s="1947" t="str">
        <x:v>#58065</x:v>
      </x:c>
      <x:c r="C15" s="1948" t="n">
        <x:v>46287</x:v>
      </x:c>
      <x:c r="D15" s="1947" t="str">
        <x:v>spec-decode</x:v>
      </x:c>
      <x:c r="E15" s="1949" t="str">
        <x:v>允许DFlash异步调度以重叠CPU工作</x:v>
      </x:c>
      <x:c r="F15" s="1947" t="str">
        <x:v>medium</x:v>
      </x:c>
      <x:c r="G15" s="1947" t="str">
        <x:v>idea-copy</x:v>
      </x:c>
      <x:c r="H15" s="1947" t="str">
        <x:v>python-adapter</x:v>
      </x:c>
      <x:c r="I15" s="1947" t="str">
        <x:v>否</x:v>
      </x:c>
      <x:c r="J15" s="1947" t="str">
        <x:v>李泽桐</x:v>
      </x:c>
      <x:c r="K15" s="1947" t="str">
        <x:v>收益不明确待验证</x:v>
      </x:c>
      <x:c r="L15" s="1947" t="str">
        <x:v>无差异</x:v>
      </x:c>
      <x:c r="M15" s="1947" t="str">
        <x:v>M</x:v>
      </x:c>
      <x:c r="N15" s="1947" t="str">
        <x:v>medium-risk</x:v>
      </x:c>
      <x:c r="O15" s="1949" t="str">
        <x:v>vllm/config/vllm.py; tests/test_config.py</x:v>
      </x:c>
      <x:c r="P15" s="1949" t="str">
        <x:v>https://github.com/vllm-project/vllm/pull/58065</x:v>
      </x:c>
    </x:row>
    <x:row r="16" ht="79.5" customHeight="1">
      <x:c r="A16" s="1950" t="str">
        <x:v>P2</x:v>
      </x:c>
      <x:c r="B16" s="1950" t="str">
        <x:v>#47842</x:v>
      </x:c>
      <x:c r="C16" s="1951" t="n">
        <x:v>46287</x:v>
      </x:c>
      <x:c r="D16" s="1950" t="str">
        <x:v>operator-kernel</x:v>
      </x:c>
      <x:c r="E16" s="1952" t="str">
        <x:v>GDN norm保留原rank以消除编译reshape copy</x:v>
      </x:c>
      <x:c r="F16" s="1950" t="str">
        <x:v>medium</x:v>
      </x:c>
      <x:c r="G16" s="1950" t="str">
        <x:v>idea-copy</x:v>
      </x:c>
      <x:c r="H16" s="1950" t="str">
        <x:v>python-adapter</x:v>
      </x:c>
      <x:c r="I16" s="1950" t="str">
        <x:v>否</x:v>
      </x:c>
      <x:c r="J16" s="1950" t="str">
        <x:v>曾彦嘉</x:v>
      </x:c>
      <x:c r="K16" s="1950" t="str">
        <x:v>收益不明确待验证</x:v>
      </x:c>
      <x:c r="L16" s="1950" t="str">
        <x:v>无差异</x:v>
      </x:c>
      <x:c r="M16" s="1950" t="str">
        <x:v>M</x:v>
      </x:c>
      <x:c r="N16" s="1950" t="str">
        <x:v>medium-risk</x:v>
      </x:c>
      <x:c r="O16" s="1952" t="str">
        <x:v>vllm/compilation/passes/fusion/rocm_aiter_fusion.py; vllm/compilation/passes/vllm_inductor_pass.py; vllm/model_executor/layers/mamba/gdn/qwen_gdn_linear_attn.py; tests/compile/passes/test_fusion.py; tests/kernels/mamba/test_gdn_output_projection.py</x:v>
      </x:c>
      <x:c r="P16" s="1952" t="str">
        <x:v>https://github.com/vllm-project/vllm/pull/47842</x:v>
      </x:c>
    </x:row>
    <x:row r="17" ht="70" customHeight="1">
      <x:c r="A17" s="1947" t="str">
        <x:v>P2</x:v>
      </x:c>
      <x:c r="B17" s="1947" t="str">
        <x:v>#50814</x:v>
      </x:c>
      <x:c r="C17" s="1948" t="n">
        <x:v>46287</x:v>
      </x:c>
      <x:c r="D17" s="1947" t="str">
        <x:v>quantization</x:v>
      </x:c>
      <x:c r="E17" s="1949" t="str">
        <x:v>仿真权重加载时一次反量化换取推理少计算</x:v>
      </x:c>
      <x:c r="F17" s="1947" t="str">
        <x:v>medium</x:v>
      </x:c>
      <x:c r="G17" s="1947" t="str">
        <x:v>idea-copy</x:v>
      </x:c>
      <x:c r="H17" s="1947" t="str">
        <x:v>csrc/quantization</x:v>
      </x:c>
      <x:c r="I17" s="1947" t="str">
        <x:v>否</x:v>
      </x:c>
      <x:c r="J17" s="1947" t="str">
        <x:v>王锟鹏</x:v>
      </x:c>
      <x:c r="K17" s="1947" t="str">
        <x:v>平台差异可借鉴</x:v>
      </x:c>
      <x:c r="L17" s="1947" t="str">
        <x:v>无差异</x:v>
      </x:c>
      <x:c r="M17" s="1947" t="str">
        <x:v>M</x:v>
      </x:c>
      <x:c r="N17" s="1947" t="str">
        <x:v>medium-risk</x:v>
      </x:c>
      <x:c r="O17" s="1949" t="str">
        <x:v>vllm/envs.py; vllm/model_executor/kernels/linear/mxfp4/emulation.py; tests/kernels/quantization/test_mxfp4_kernel_selection.py</x:v>
      </x:c>
      <x:c r="P17" s="1949" t="str">
        <x:v>https://github.com/vllm-project/vllm/pull/50814</x:v>
      </x:c>
    </x:row>
    <x:row r="18" ht="70" customHeight="1">
      <x:c r="A18" s="1950" t="str">
        <x:v>P2</x:v>
      </x:c>
      <x:c r="B18" s="1950" t="str">
        <x:v>#57428</x:v>
      </x:c>
      <x:c r="C18" s="1951" t="n">
        <x:v>46287</x:v>
      </x:c>
      <x:c r="D18" s="1950" t="str">
        <x:v>distributed</x:v>
      </x:c>
      <x:c r="E18" s="1952" t="str">
        <x:v>GEMM与SP reduce-scatter融合减少往返</x:v>
      </x:c>
      <x:c r="F18" s="1950" t="str">
        <x:v>medium</x:v>
      </x:c>
      <x:c r="G18" s="1950" t="str">
        <x:v>idea-copy</x:v>
      </x:c>
      <x:c r="H18" s="1950" t="str">
        <x:v>fallback_comm</x:v>
      </x:c>
      <x:c r="I18" s="1950" t="str">
        <x:v>否</x:v>
      </x:c>
      <x:c r="J18" s="1950" t="str">
        <x:v>毛琦</x:v>
      </x:c>
      <x:c r="K18" s="1950" t="str">
        <x:v>平台差异可借鉴</x:v>
      </x:c>
      <x:c r="L18" s="1950" t="str">
        <x:v>无差异</x:v>
      </x:c>
      <x:c r="M18" s="1950" t="str">
        <x:v>M</x:v>
      </x:c>
      <x:c r="N18" s="1950" t="str">
        <x:v>medium-risk</x:v>
      </x:c>
      <x:c r="O18" s="1952" t="str">
        <x:v>vllm/cute_utils/_tcgen05.py; vllm/envs.py; vllm/model_executor/kernels/linear/cute_dsl/gemm_rs_ar.py; vllm/model_executor/warmup/kernel_warmup.py; vllm/models/deepseek_v4/nvidia/ops/o_proj.py</x:v>
      </x:c>
      <x:c r="P18" s="1952" t="str">
        <x:v>https://github.com/vllm-project/vllm/pull/57428</x:v>
      </x:c>
    </x:row>
    <x:row r="19" ht="70" customHeight="1">
      <x:c r="A19" s="1947" t="str">
        <x:v>P2</x:v>
      </x:c>
      <x:c r="B19" s="1947" t="str">
        <x:v>#58097</x:v>
      </x:c>
      <x:c r="C19" s="1948" t="n">
        <x:v>46287</x:v>
      </x:c>
      <x:c r="D19" s="1947" t="str">
        <x:v>test-ci</x:v>
      </x:c>
      <x:c r="E19" s="1949" t="str">
        <x:v>构建symbol映射与运行trace联合缩小测试集合</x:v>
      </x:c>
      <x:c r="F19" s="1947" t="str">
        <x:v>medium</x:v>
      </x:c>
      <x:c r="G19" s="1947" t="str">
        <x:v>idea-copy</x:v>
      </x:c>
      <x:c r="H19" s="1947" t="str">
        <x:v>python-adapter</x:v>
      </x:c>
      <x:c r="I19" s="1947" t="str">
        <x:v>否</x:v>
      </x:c>
      <x:c r="J19" s="1947" t="str">
        <x:v>张新悦</x:v>
      </x:c>
      <x:c r="K19" s="1947" t="str">
        <x:v>平台差异可借鉴</x:v>
      </x:c>
      <x:c r="L19" s="1947" t="str">
        <x:v>无差异</x:v>
      </x:c>
      <x:c r="M19" s="1947" t="str">
        <x:v>M</x:v>
      </x:c>
      <x:c r="N19" s="1947" t="str">
        <x:v>medium-risk</x:v>
      </x:c>
      <x:c r="O19" s="1949" t="str">
        <x:v>.buildkite/image_build/image_build.sh; docker/Dockerfile; docs/assets/contributing/dockerfile-stages-dependency.png; tools/ci/kernel_symbol_map.py</x:v>
      </x:c>
      <x:c r="P19" s="1949" t="str">
        <x:v>https://github.com/vllm-project/vllm/pull/58097</x:v>
      </x:c>
    </x:row>
    <x:row r="20" ht="79.5" customHeight="1">
      <x:c r="A20" s="1950" t="str">
        <x:v>P2</x:v>
      </x:c>
      <x:c r="B20" s="1950" t="str">
        <x:v>#55385</x:v>
      </x:c>
      <x:c r="C20" s="1951" t="n">
        <x:v>46287</x:v>
      </x:c>
      <x:c r="D20" s="1950" t="str">
        <x:v>attention-kv-cache</x:v>
      </x:c>
      <x:c r="E20" s="1952" t="str">
        <x:v>NoPE sparse MLA多后端比较与空rope旁路</x:v>
      </x:c>
      <x:c r="F20" s="1950" t="str">
        <x:v>medium</x:v>
      </x:c>
      <x:c r="G20" s="1950" t="str">
        <x:v>idea-copy</x:v>
      </x:c>
      <x:c r="H20" s="1950" t="str">
        <x:v>csrc/attention</x:v>
      </x:c>
      <x:c r="I20" s="1950" t="str">
        <x:v>否</x:v>
      </x:c>
      <x:c r="J20" s="1950" t="str">
        <x:v>朱意霖</x:v>
      </x:c>
      <x:c r="K20" s="1950" t="str">
        <x:v>平台差异可借鉴</x:v>
      </x:c>
      <x:c r="L20" s="1950" t="str">
        <x:v>无差异</x:v>
      </x:c>
      <x:c r="M20" s="1950" t="str">
        <x:v>M</x:v>
      </x:c>
      <x:c r="N20" s="1950" t="str">
        <x:v>medium-risk</x:v>
      </x:c>
      <x:c r="O20" s="1952" t="str">
        <x:v>vllm/v1/attention/backends/mla/flashattn_mla_sparse.py; vllm/v1/attention/backends/mla/flashmla_sparse.py; cmake/external_projects/vllm_flash_attn.cmake; tests/v1/attention/test_flashmla_nope_sm90_backend_selection.py</x:v>
      </x:c>
      <x:c r="P20" s="1952" t="str">
        <x:v>https://github.com/vllm-project/vllm/pull/55385</x:v>
      </x:c>
    </x:row>
    <x:row r="21" ht="70" customHeight="1">
      <x:c r="A21" s="1947" t="str">
        <x:v>P2</x:v>
      </x:c>
      <x:c r="B21" s="1947" t="str">
        <x:v>#58109</x:v>
      </x:c>
      <x:c r="C21" s="1948" t="n">
        <x:v>46287</x:v>
      </x:c>
      <x:c r="D21" s="1947" t="str">
        <x:v>multimodal</x:v>
      </x:c>
      <x:c r="E21" s="1949" t="str">
        <x:v>视觉processor模型级构造与复用</x:v>
      </x:c>
      <x:c r="F21" s="1947" t="str">
        <x:v>medium</x:v>
      </x:c>
      <x:c r="G21" s="1947" t="str">
        <x:v>idea-copy</x:v>
      </x:c>
      <x:c r="H21" s="1947" t="str">
        <x:v>python-adapter</x:v>
      </x:c>
      <x:c r="I21" s="1947" t="str">
        <x:v>否</x:v>
      </x:c>
      <x:c r="J21" s="1947" t="str">
        <x:v>龙钢</x:v>
      </x:c>
      <x:c r="K21" s="1947" t="str">
        <x:v>收益不明确待验证</x:v>
      </x:c>
      <x:c r="L21" s="1947" t="str">
        <x:v>无差异</x:v>
      </x:c>
      <x:c r="M21" s="1947" t="str">
        <x:v>M</x:v>
      </x:c>
      <x:c r="N21" s="1947" t="str">
        <x:v>medium-risk</x:v>
      </x:c>
      <x:c r="O21" s="1949" t="str">
        <x:v>rust/Cargo.lock; rust/Cargo.toml; rust/src/chat/src/multimodal.rs; rust/src/chat/src/multimodal/image.rs; rust/src/chat/src/multimodal/video.rs</x:v>
      </x:c>
      <x:c r="P21" s="1949" t="str">
        <x:v>https://github.com/vllm-project/vllm/pull/58109</x:v>
      </x:c>
    </x:row>
    <x:row r="22" ht="70" customHeight="1">
      <x:c r="A22" s="1950" t="str">
        <x:v>P2</x:v>
      </x:c>
      <x:c r="B22" s="1950" t="str">
        <x:v>#55931</x:v>
      </x:c>
      <x:c r="C22" s="1951" t="n">
        <x:v>46287</x:v>
      </x:c>
      <x:c r="D22" s="1950" t="str">
        <x:v>scheduler</x:v>
      </x:c>
      <x:c r="E22" s="1952" t="str">
        <x:v>grammar就绪检查非阻塞，去除逐请求空等</x:v>
      </x:c>
      <x:c r="F22" s="1950" t="str">
        <x:v>medium</x:v>
      </x:c>
      <x:c r="G22" s="1950" t="str">
        <x:v>auto-inherit</x:v>
      </x:c>
      <x:c r="H22" s="1950" t="str">
        <x:v>none</x:v>
      </x:c>
      <x:c r="I22" s="1950" t="str">
        <x:v>否</x:v>
      </x:c>
      <x:c r="J22" s="1950" t="str">
        <x:v>温劲</x:v>
      </x:c>
      <x:c r="K22" s="1950" t="str">
        <x:v>直接继承</x:v>
      </x:c>
      <x:c r="L22" s="1950" t="str">
        <x:v>无差异</x:v>
      </x:c>
      <x:c r="M22" s="1950" t="str">
        <x:v>M</x:v>
      </x:c>
      <x:c r="N22" s="1950" t="str">
        <x:v>medium-risk</x:v>
      </x:c>
      <x:c r="O22" s="1952" t="str">
        <x:v>vllm/v1/structured_output/request.py; tests/v1/structured_output/test_request.py</x:v>
      </x:c>
      <x:c r="P22" s="1952" t="str">
        <x:v>https://github.com/vllm-project/vllm/pull/55931</x:v>
      </x:c>
    </x:row>
    <x:row r="23" ht="93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 ht="70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 ht="70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 ht="70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</x:sheetData>
  <x:mergeCells>
    <x:mergeCell ref="A1:P1"/>
    <x:mergeCell ref="A2:P2"/>
  </x:mergeCells>
  <x:conditionalFormatting sqref="L5:L19">
    <x:cfRule type="containsText" dxfId="4" priority="5" operator="containsText" text="有差异"/>
  </x:conditionalFormatting>
  <x:conditionalFormatting sqref="M5:M14">
    <x:cfRule type="containsText" dxfId="21" priority="10" operator="containsText" text="有差异"/>
  </x:conditionalFormatting>
  <x:conditionalFormatting sqref="A5:A17">
    <x:cfRule type="containsText" dxfId="32" priority="15" operator="containsText" text="P0"/>
    <x:cfRule type="containsText" dxfId="33" priority="16" operator="containsText" text="P1"/>
    <x:cfRule type="containsText" dxfId="34" priority="17" operator="containsText" text="P2"/>
    <x:cfRule type="containsText" dxfId="35" priority="18" operator="containsText" text="skip"/>
  </x:conditionalFormatting>
  <x:conditionalFormatting sqref="A5:A19">
    <x:cfRule type="containsText" dxfId="72" priority="27" operator="containsText" text="P0"/>
    <x:cfRule type="containsText" dxfId="73" priority="28" operator="containsText" text="P1"/>
    <x:cfRule type="containsText" dxfId="74" priority="29" operator="containsText" text="P2"/>
    <x:cfRule type="containsText" dxfId="75" priority="30" operator="containsText" text="skip"/>
  </x:conditionalFormatting>
  <x:conditionalFormatting sqref="A5:A25">
    <x:cfRule type="containsText" dxfId="82" priority="31" operator="containsText" text="P0"/>
    <x:cfRule type="containsText" dxfId="83" priority="32" operator="containsText" text="P1"/>
    <x:cfRule type="containsText" dxfId="84" priority="33" operator="containsText" text="P2"/>
    <x:cfRule type="containsText" dxfId="85" priority="34" operator="containsText" text="skip"/>
  </x:conditionalFormatting>
  <x:conditionalFormatting sqref="A5:A15">
    <x:cfRule type="containsText" dxfId="112" priority="39" operator="containsText" text="P0"/>
    <x:cfRule type="containsText" dxfId="113" priority="40" operator="containsText" text="P1"/>
    <x:cfRule type="containsText" dxfId="114" priority="41" operator="containsText" text="P2"/>
    <x:cfRule type="containsText" dxfId="115" priority="42" operator="containsText" text="skip"/>
  </x:conditionalFormatting>
  <x:conditionalFormatting sqref="A5:A23">
    <x:cfRule type="containsText" dxfId="132" priority="47" operator="containsText" text="P0"/>
    <x:cfRule type="containsText" dxfId="133" priority="48" operator="containsText" text="P1"/>
    <x:cfRule type="containsText" dxfId="134" priority="49" operator="containsText" text="P2"/>
    <x:cfRule type="containsText" dxfId="135" priority="50" operator="containsText" text="skip"/>
  </x:conditionalFormatting>
  <x:conditionalFormatting sqref="A5:A26">
    <x:cfRule type="containsText" dxfId="152" priority="55" operator="containsText" text="P0"/>
    <x:cfRule type="containsText" dxfId="153" priority="56" operator="containsText" text="P1"/>
    <x:cfRule type="containsText" dxfId="154" priority="57" operator="containsText" text="P2"/>
    <x:cfRule type="containsText" dxfId="155" priority="58" operator="containsText" text="skip"/>
  </x:conditionalFormatting>
  <x:conditionalFormatting sqref="A5:A21">
    <x:cfRule type="containsText" dxfId="162" priority="59" operator="containsText" text="P0"/>
    <x:cfRule type="containsText" dxfId="163" priority="60" operator="containsText" text="P1"/>
    <x:cfRule type="containsText" dxfId="164" priority="61" operator="containsText" text="P2"/>
    <x:cfRule type="containsText" dxfId="165" priority="62" operator="containsText" text="skip"/>
  </x:conditionalFormatting>
  <x:conditionalFormatting sqref="A5:A14">
    <x:cfRule type="containsText" dxfId="182" priority="63" operator="containsText" text="P0"/>
    <x:cfRule type="containsText" dxfId="183" priority="64" operator="containsText" text="P1"/>
    <x:cfRule type="containsText" dxfId="184" priority="65" operator="containsText" text="P2"/>
    <x:cfRule type="containsText" dxfId="185" priority="66" operator="containsText" text="skip"/>
  </x:conditionalFormatting>
  <x:conditionalFormatting sqref="A5:A18">
    <x:cfRule type="containsText" dxfId="192" priority="67" operator="containsText" text="P0"/>
    <x:cfRule type="containsText" dxfId="193" priority="68" operator="containsText" text="P1"/>
    <x:cfRule type="containsText" dxfId="194" priority="69" operator="containsText" text="P2"/>
    <x:cfRule type="containsText" dxfId="195" priority="70" operator="containsText" text="skip"/>
  </x:conditionalFormatting>
  <x:conditionalFormatting sqref="A5:A22">
    <x:cfRule type="containsText" dxfId="202" priority="71" operator="containsText" text="P0"/>
    <x:cfRule type="containsText" dxfId="203" priority="72" operator="containsText" text="P1"/>
    <x:cfRule type="containsText" dxfId="204" priority="73" operator="containsText" text="P2"/>
    <x:cfRule type="containsText" dxfId="205" priority="74" operator="containsText" text="skip"/>
  </x:conditionalFormatting>
  <x:pageMargins left="0.7" right="0.7" top="0.75" bottom="0.75" header="0.3" footer="0.3"/>
  <x:tableParts count="1">
    <x:tablePart xmlns:r="http://schemas.openxmlformats.org/officeDocument/2006/relationships" r:id="R3f344a9dc30d48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48" hidden="0" customWidth="1"/>
    <x:col min="5" max="5" width="17" hidden="0" customWidth="1"/>
    <x:col min="6" max="6" width="42" hidden="0" customWidth="1"/>
    <x:col min="7" max="7" width="48" hidden="0" customWidth="1"/>
    <x:col min="8" max="8" width="48" hidden="0" customWidth="1"/>
    <x:col min="9" max="9" width="48" hidden="0" customWidth="1"/>
    <x:col min="10" max="10" width="14" hidden="0" customWidth="1"/>
    <x:col min="11" max="11" width="54" hidden="0" customWidth="1"/>
  </x:cols>
  <x:sheetData>
    <x:row r="1" ht="30" customHeight="1">
      <x:c r="A1" s="34" t="str">
        <x:v>行动清单（V3 P0-P1）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</x:row>
    <x:row r="2" ht="34" customHeight="1">
      <x:c r="A2" s="8" t="str">
        <x:v>按main-lys V3列出0条P0、2条P1；仅列优化行动，Bugfix/功能P1见各自管理页；其余优化POC见精确复核页。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4" customHeight="1">
      <x:c r="A4" s="1924" t="str">
        <x:v>优先级</x:v>
      </x:c>
      <x:c r="B4" s="1924" t="str">
        <x:v>PR</x:v>
      </x:c>
      <x:c r="C4" s="1924" t="str">
        <x:v>第一责任人</x:v>
      </x:c>
      <x:c r="D4" s="1924" t="str">
        <x:v>优化点</x:v>
      </x:c>
      <x:c r="E4" s="1924" t="str">
        <x:v>目标模块</x:v>
      </x:c>
      <x:c r="F4" s="1924" t="str">
        <x:v>迁移步骤</x:v>
      </x:c>
      <x:c r="G4" s="1924" t="str">
        <x:v>验证场景</x:v>
      </x:c>
      <x:c r="H4" s="1924" t="str">
        <x:v>V3结论</x:v>
      </x:c>
      <x:c r="I4" s="1924" t="str">
        <x:v>精确复核</x:v>
      </x:c>
      <x:c r="J4" s="1924" t="str">
        <x:v>结论差异</x:v>
      </x:c>
      <x:c r="K4" s="1924" t="str">
        <x:v>Review摘要</x:v>
      </x:c>
    </x:row>
    <x:row r="5" ht="70" customHeight="1">
      <x:c r="A5" s="349" t="str">
        <x:v>P1</x:v>
      </x:c>
      <x:c r="B5" s="350" t="str">
        <x:v>#57951</x:v>
      </x:c>
      <x:c r="C5" s="350" t="str">
        <x:v>姜凯强</x:v>
      </x:c>
      <x:c r="D5" s="350" t="str">
        <x:v>单请求prefill取消不必要阈值分块</x:v>
      </x:c>
      <x:c r="E5" s="350" t="str">
        <x:v>python-adapter</x:v>
      </x:c>
      <x:c r="F5" s="725" t="str">
        <x:v>在各有效schedule统一计算running+waiting+skipped_waiting是否&gt;1，再用于running/waiting两分支；保留ProfilingChunk额外预算和PD约束，回归公平性及TTFT。</x:v>
      </x:c>
      <x:c r="G5" s="725" t="str">
        <x:v>在各有效schedule统一计算running+waiting+skipped_waiting是否&gt;1，再用于running/waiting两分支；保留ProfilingChunk额外预算和PD约束，回归公平性及TTFT。</x:v>
      </x:c>
      <x:c r="H5" s="350" t="str">
        <x:v>medium / patch-sync</x:v>
      </x:c>
      <x:c r="I5" s="350" t="str">
        <x:v>收益明确待适配</x:v>
      </x:c>
      <x:c r="J5" s="350" t="str">
        <x:v>无差异</x:v>
      </x:c>
      <x:c r="K5" s="352" t="str">
        <x:v>不是所有chunk限制都删除；max_num_batched_tokens和专用调度预算仍有效。</x:v>
      </x:c>
    </x:row>
    <x:row r="6" ht="70" customHeight="1">
      <x:c r="A6" s="139" t="str">
        <x:v>P1</x:v>
      </x:c>
      <x:c r="B6" s="139" t="str">
        <x:v>#57891</x:v>
      </x:c>
      <x:c r="C6" s="139" t="str">
        <x:v>刘荣</x:v>
      </x:c>
      <x:c r="D6" s="139" t="str">
        <x:v>睡眠保留冻结参数，减少不必要权重重传</x:v>
      </x:c>
      <x:c r="E6" s="139" t="str">
        <x:v>python-adapter</x:v>
      </x:c>
      <x:c r="F6" s="804" t="str">
        <x:v>在NPU sleep前按glob备份选中参数、weights wake原位恢复并释放；验证未匹配报错、CPU权重、三轮sleep、图地址稳定及host容量，trainer必须不覆盖保留权重。</x:v>
      </x:c>
      <x:c r="G6" s="804" t="str">
        <x:v>在NPU sleep前按glob备份选中参数、weights wake原位恢复并释放；验证未匹配报错、CPU权重、三轮sleep、图地址稳定及host容量，trainer必须不覆盖保留权重。</x:v>
      </x:c>
      <x:c r="H6" s="139" t="str">
        <x:v>medium / patch-sync</x:v>
      </x:c>
      <x:c r="I6" s="139" t="str">
        <x:v>收益明确待适配</x:v>
      </x:c>
      <x:c r="J6" s="139" t="str">
        <x:v>无差异</x:v>
      </x:c>
      <x:c r="K6" s="135" t="str">
        <x:v>明确功能适配必须完成；收益方向为免传冻结参数，不声称NPU已提速或节省全部CPU驻留量。</x:v>
      </x:c>
    </x:row>
    <x:row r="7" ht="70" customHeight="1">
      <x:c r="A7"/>
      <x:c r="B7"/>
      <x:c r="C7"/>
      <x:c r="D7"/>
      <x:c r="E7"/>
      <x:c r="F7"/>
      <x:c r="G7"/>
      <x:c r="H7"/>
      <x:c r="I7"/>
      <x:c r="J7"/>
      <x:c r="K7"/>
    </x:row>
    <x:row r="8" ht="79.5" customHeight="1">
      <x:c r="A8"/>
      <x:c r="B8"/>
      <x:c r="C8"/>
      <x:c r="D8"/>
      <x:c r="E8"/>
      <x:c r="F8"/>
      <x:c r="G8"/>
      <x:c r="H8"/>
      <x:c r="I8"/>
      <x:c r="J8"/>
      <x:c r="K8"/>
    </x:row>
    <x:row r="9" ht="132" customHeight="1">
      <x:c r="A9"/>
      <x:c r="B9"/>
      <x:c r="C9"/>
      <x:c r="D9"/>
      <x:c r="E9"/>
      <x:c r="F9"/>
      <x:c r="G9"/>
      <x:c r="H9"/>
      <x:c r="I9"/>
      <x:c r="J9"/>
      <x:c r="K9"/>
    </x:row>
    <x:row r="10" ht="132" customHeight="1">
      <x:c r="A10"/>
      <x:c r="B10"/>
      <x:c r="C10"/>
      <x:c r="D10"/>
      <x:c r="E10"/>
      <x:c r="F10"/>
      <x:c r="G10"/>
      <x:c r="H10"/>
      <x:c r="I10"/>
      <x:c r="J10"/>
      <x:c r="K10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6ac96689a0849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5" hidden="0" customWidth="1"/>
    <x:col min="5" max="5" width="22" hidden="0" customWidth="1"/>
    <x:col min="6" max="6" width="55" hidden="0" customWidth="1"/>
    <x:col min="7" max="7" width="52" hidden="0" customWidth="1"/>
    <x:col min="8" max="8" width="58" hidden="0" customWidth="1"/>
  </x:cols>
  <x:sheetData>
    <x:row r="1" ht="30" customHeight="1">
      <x:c r="A1" s="49" t="str">
        <x:v>跳过清单</x:v>
      </x:c>
      <x:c r="B1" s="49"/>
      <x:c r="C1" s="49"/>
      <x:c r="D1" s="49"/>
      <x:c r="E1" s="49"/>
      <x:c r="F1" s="49"/>
      <x:c r="G1" s="49"/>
      <x:c r="H1" s="49"/>
    </x:row>
    <x:row r="2" ht="34" customHeight="1">
      <x:c r="A2" s="53" t="str">
        <x:v>本页仅列不可用/skip。平台实现不可直接用但有借鉴入口的9条已保留在优化总表，不列为skip。</x:v>
      </x:c>
      <x:c r="B2" s="53"/>
      <x:c r="C2" s="53"/>
      <x:c r="D2" s="53"/>
      <x:c r="E2" s="53"/>
      <x:c r="F2" s="53"/>
      <x:c r="G2" s="53"/>
      <x:c r="H2" s="53"/>
    </x:row>
    <x:row r="4" ht="34" customHeight="1">
      <x:c r="A4" s="1924" t="str">
        <x:v>PR</x:v>
      </x:c>
      <x:c r="B4" s="1924" t="str">
        <x:v>合入日期</x:v>
      </x:c>
      <x:c r="C4" s="1924" t="str">
        <x:v>第一责任人</x:v>
      </x:c>
      <x:c r="D4" s="1924" t="str">
        <x:v>优化点</x:v>
      </x:c>
      <x:c r="E4" s="1924" t="str">
        <x:v>分类</x:v>
      </x:c>
      <x:c r="F4" s="1924" t="str">
        <x:v>跳过原因</x:v>
      </x:c>
      <x:c r="G4" s="1924" t="str">
        <x:v>可借鉴点</x:v>
      </x:c>
      <x:c r="H4" s="1924" t="str">
        <x:v>Review摘要</x:v>
      </x:c>
    </x:row>
    <x:row r="5" ht="70" customHeight="1">
      <x:c r="A5" s="381" t="str">
        <x:v>无记录</x:v>
      </x:c>
      <x:c r="B5" s="382" t="str"/>
      <x:c r="C5" s="383" t="str"/>
      <x:c r="D5" s="383" t="str"/>
      <x:c r="E5" s="383" t="str"/>
      <x:c r="F5" s="384" t="str"/>
      <x:c r="G5" s="384" t="str"/>
      <x:c r="H5" s="391" t="str"/>
    </x:row>
    <x:row r="6" ht="70" customHeight="1">
      <x:c r="A6"/>
      <x:c r="B6"/>
      <x:c r="C6"/>
      <x:c r="D6"/>
      <x:c r="E6"/>
      <x:c r="F6"/>
      <x:c r="G6"/>
      <x:c r="H6"/>
    </x:row>
    <x:row r="7" ht="92" customHeight="1">
      <x:c r="A7"/>
      <x:c r="B7"/>
      <x:c r="C7"/>
      <x:c r="D7"/>
      <x:c r="E7"/>
      <x:c r="F7"/>
      <x:c r="G7"/>
      <x:c r="H7"/>
    </x:row>
    <x:row r="8" ht="92" customHeight="1">
      <x:c r="A8"/>
      <x:c r="B8"/>
      <x:c r="C8"/>
      <x:c r="D8"/>
      <x:c r="E8"/>
      <x:c r="F8"/>
      <x:c r="G8"/>
      <x:c r="H8"/>
    </x:row>
    <x:row r="9" ht="92" customHeight="1">
      <x:c r="A9"/>
      <x:c r="B9"/>
      <x:c r="C9"/>
      <x:c r="D9"/>
      <x:c r="E9"/>
      <x:c r="F9"/>
      <x:c r="G9"/>
      <x:c r="H9"/>
    </x:row>
    <x:row r="10" ht="92" customHeight="1">
      <x:c r="A10"/>
      <x:c r="B10"/>
      <x:c r="C10"/>
      <x:c r="D10"/>
      <x:c r="E10"/>
      <x:c r="F10"/>
      <x:c r="G10"/>
      <x:c r="H10"/>
    </x:row>
    <x:row r="11" ht="92" customHeight="1">
      <x:c r="A11"/>
      <x:c r="B11"/>
      <x:c r="C11"/>
      <x:c r="D11"/>
      <x:c r="E11"/>
      <x:c r="F11"/>
      <x:c r="G11"/>
      <x:c r="H11"/>
    </x:row>
    <x:row r="12" ht="92" customHeight="1">
      <x:c r="A12"/>
      <x:c r="B12"/>
      <x:c r="C12"/>
      <x:c r="D12"/>
      <x:c r="E12"/>
      <x:c r="F12"/>
      <x:c r="G12"/>
      <x:c r="H1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30421734e2742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22" hidden="0" customWidth="1"/>
    <x:col min="5" max="5" width="34" hidden="0" customWidth="1"/>
    <x:col min="6" max="6" width="70" hidden="0" customWidth="1"/>
    <x:col min="7" max="7" width="18" hidden="0" customWidth="1"/>
    <x:col min="8" max="8" width="54" hidden="0" customWidth="1"/>
    <x:col min="9" max="9" width="45" hidden="0" customWidth="1"/>
  </x:cols>
  <x:sheetData>
    <x:row r="1" ht="30" customHeight="1">
      <x:c r="A1" s="4" t="str">
        <x:v>V3 工作流结论 vs 精确代码复核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8" t="str">
        <x:v>V3 Prompt结合架构映射；精确复核检查import、继承、override、patch、调用链和cutoff端点有效路径。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1924" t="str">
        <x:v>PR</x:v>
      </x:c>
      <x:c r="B4" s="1924" t="str">
        <x:v>V3结论</x:v>
      </x:c>
      <x:c r="C4" s="1924" t="str">
        <x:v>架构候选/真实Patch键</x:v>
      </x:c>
      <x:c r="D4" s="1924" t="str">
        <x:v>目标模块</x:v>
      </x:c>
      <x:c r="E4" s="1924" t="str">
        <x:v>精确代码结论</x:v>
      </x:c>
      <x:c r="F4" s="1924" t="str">
        <x:v>精确原因</x:v>
      </x:c>
      <x:c r="G4" s="1924" t="str">
        <x:v>新增接口断点</x:v>
      </x:c>
      <x:c r="H4" s="1924" t="str">
        <x:v>V3判定依据摘要</x:v>
      </x:c>
      <x:c r="I4" s="1924" t="str">
        <x:v>最终执行口径</x:v>
      </x:c>
    </x:row>
    <x:row r="5" ht="70" customHeight="1">
      <x:c r="A5" s="1953" t="str">
        <x:v>#54185</x:v>
      </x:c>
      <x:c r="B5" s="1926" t="str">
        <x:v>P2 / idea-copy</x:v>
      </x:c>
      <x:c r="C5" s="1926" t="str">
        <x:v>无旧映射命中；仍按源码复核</x:v>
      </x:c>
      <x:c r="D5" s="1926" t="str">
        <x:v>csrc/moe</x:v>
      </x:c>
      <x:c r="E5" s="1926" t="str">
        <x:v>平台差异可借鉴
硬件相关：平台实现不同，思路可验证</x:v>
      </x:c>
      <x:c r="F5" s="1926" t="str">
        <x:v>NPU FusedMoEFactory创建自有router/expert，ROCm dispatcher不会提供NPU快核；可在NPU gate projection评估小矩阵选核。</x:v>
      </x:c>
      <x:c r="G5" s="1926" t="str">
        <x:v>未发现需完整扫描的未知断点</x:v>
      </x:c>
      <x:c r="H5" s="1926" t="str">
        <x:v>公开判定摘要：共享专家gate采用平台优化GEMM分派。ROCm小矩阵分派不进入NPU；可对NPU gate投影评估同类选核。 最终路由：medium/idea-copy/P2；源码依据与局限见精确复核及测试页。</x:v>
      </x:c>
      <x:c r="I5" s="1929" t="str">
        <x:v>不移植上游平台代码；按NPU有效路径借鉴方法并验证</x:v>
      </x:c>
    </x:row>
    <x:row r="6" ht="70" customHeight="1">
      <x:c r="A6" s="1930" t="str">
        <x:v>#55608</x:v>
      </x:c>
      <x:c r="B6" s="1931" t="str">
        <x:v>P2 / idea-copy</x:v>
      </x:c>
      <x:c r="C6" s="1931" t="str">
        <x:v>无旧映射命中；仍按源码复核</x:v>
      </x:c>
      <x:c r="D6" s="1931" t="str">
        <x:v>python-adapter</x:v>
      </x:c>
      <x:c r="E6" s="1931" t="str">
        <x:v>收益不明确待验证
有效路径或实际瓶颈待验证</x:v>
      </x:c>
      <x:c r="F6" s="1931" t="str">
        <x:v>Ascend独立Docker/镜像发布工作流不继承上游构建参数；压缩方法跨硬件，但NPU运行时兼容和网络/CPU瓶颈需测量。</x:v>
      </x:c>
      <x:c r="G6" s="1931" t="str">
        <x:v>未发现需完整扫描的未知断点</x:v>
      </x:c>
      <x:c r="H6" s="1931" t="str">
        <x:v>公开判定摘要：镜像zstd压缩缩短拉取与首次响应。NPU镜像链独立，压缩方法可复用；需验证运行时兼容和端到端冷启动收益。 最终路由：medium/idea-copy/P2；源码依据与局限见精确复核及测试页。</x:v>
      </x:c>
      <x:c r="I6" s="1934" t="str">
        <x:v>先做NPU profiling/最小POC，收益成立后再实现</x:v>
      </x:c>
    </x:row>
    <x:row r="7" ht="70" customHeight="1">
      <x:c r="A7" s="1941" t="str">
        <x:v>#50592</x:v>
      </x:c>
      <x:c r="B7" s="1936" t="str">
        <x:v>P2 / idea-copy</x:v>
      </x:c>
      <x:c r="C7" s="1936" t="str">
        <x:v>无旧映射命中；仍按源码复核</x:v>
      </x:c>
      <x:c r="D7" s="1936" t="str">
        <x:v>python-adapter</x:v>
      </x:c>
      <x:c r="E7" s="1936" t="str">
        <x:v>平台差异可借鉴
硬件相关：平台实现不同，思路可验证</x:v>
      </x:c>
      <x:c r="F7" s="1936" t="str">
        <x:v>AscendKimiDecoderLayer._run_self_attn已直接return self.self_attn；NPU无需迁移AMD output缓冲接口。AMD prefix_delta和剩余NPU norm/copy可另做profile，不能重复计已有直接返回收益。</x:v>
      </x:c>
      <x:c r="G7" s="1936" t="str">
        <x:v>未发现需完整扫描的未知断点</x:v>
      </x:c>
      <x:c r="H7" s="1936" t="str">
        <x:v>公开判定摘要：Kimi attention直接返回结果，减少输出搬运。NPU已直接返回attention结果；仅剩余copy和残差累积思路值得单独评估。 最终路由：medium/idea-copy/P2；源码依据与局限见精确复核及测试页。</x:v>
      </x:c>
      <x:c r="I7" s="1939" t="str">
        <x:v>不移植上游平台代码；按NPU有效路径借鉴方法并验证</x:v>
      </x:c>
    </x:row>
    <x:row r="8" ht="70" customHeight="1">
      <x:c r="A8" s="1930" t="str">
        <x:v>#51360</x:v>
      </x:c>
      <x:c r="B8" s="1931" t="str">
        <x:v>P2 / idea-copy</x:v>
      </x:c>
      <x:c r="C8" s="1931" t="str">
        <x:v>无旧映射命中；仍按源码复核</x:v>
      </x:c>
      <x:c r="D8" s="1931" t="str">
        <x:v>python-adapter</x:v>
      </x:c>
      <x:c r="E8" s="1931" t="str">
        <x:v>平台差异可借鉴
硬件相关：平台实现不同，思路可验证</x:v>
      </x:c>
      <x:c r="F8" s="1931" t="str">
        <x:v>CUDA CRIU checkpoint不能用于NPU；Ascend rfork处理权重共享不等同进程恢复。可借鉴初始化阶段拆分、指纹和恢复oracle，但需NPU驱动恢复能力POC。</x:v>
      </x:c>
      <x:c r="G8" s="1931" t="str">
        <x:v>未发现需完整扫描的未知断点</x:v>
      </x:c>
      <x:c r="H8" s="1931" t="str">
        <x:v>公开判定摘要：初始化快照减少进程重建激活时间。CUDA进程checkpoint不可直用，NPU可借鉴初始化拆分和恢复oracle。 最终路由：medium/idea-copy/P2；源码依据与局限见精确复核及测试页。</x:v>
      </x:c>
      <x:c r="I8" s="1934" t="str">
        <x:v>不移植上游平台代码；按NPU有效路径借鉴方法并验证</x:v>
      </x:c>
    </x:row>
    <x:row r="9" ht="70" customHeight="1">
      <x:c r="A9" s="1941" t="str">
        <x:v>#57737</x:v>
      </x:c>
      <x:c r="B9" s="1936" t="str">
        <x:v>P2 / auto-inherit</x:v>
      </x:c>
      <x:c r="C9" s="1936" t="str">
        <x:v>无旧映射命中；仍按源码复核</x:v>
      </x:c>
      <x:c r="D9" s="1936" t="str">
        <x:v>none</x:v>
      </x:c>
      <x:c r="E9" s="1936" t="str">
        <x:v>直接继承
硬件无关：共享路径进入，NPU收益待验证</x:v>
      </x:c>
      <x:c r="F9" s="1936" t="str">
        <x:v>worker/v2/model_runner.py的NPUModelRunner继承GPUModelRunner，未重写shutdown；worker.shutdown调用runner关闭，清空共享pooling_runner进入。</x:v>
      </x:c>
      <x:c r="G9" s="1936" t="str">
        <x:v>未发现需完整扫描的未知断点</x:v>
      </x:c>
      <x:c r="H9" s="1936" t="str">
        <x:v>公开判定摘要：shutdown解除pooling模型引用。NPU MRV2继承共享shutdown，解除pooling引用；关闭后内存收益待NPU回归。 最终路由：medium/auto-inherit/P2；源码依据与局限见精确复核及测试页。</x:v>
      </x:c>
      <x:c r="I9" s="1939" t="str">
        <x:v>直接继承；做NPU回归与收益确认</x:v>
      </x:c>
    </x:row>
    <x:row r="10" ht="70" customHeight="1">
      <x:c r="A10" s="1930" t="str">
        <x:v>#57965</x:v>
      </x:c>
      <x:c r="B10" s="1931" t="str">
        <x:v>P2 / idea-copy</x:v>
      </x:c>
      <x:c r="C10" s="1931" t="str">
        <x:v>无旧映射命中；仍按源码复核</x:v>
      </x:c>
      <x:c r="D10" s="1931" t="str">
        <x:v>python-adapter</x:v>
      </x:c>
      <x:c r="E10" s="1931" t="str">
        <x:v>收益不明确待验证
有效路径或实际瓶颈待验证</x:v>
      </x:c>
      <x:c r="F10" s="1931" t="str">
        <x:v>Ascend有独立nightly/CI资源池，不执行H200 Buildkite job。方法可跨平台迁移，但排队和多job加载成本须测。</x:v>
      </x:c>
      <x:c r="G10" s="1931" t="str">
        <x:v>未发现需完整扫描的未知断点</x:v>
      </x:c>
      <x:c r="H10" s="1931" t="str">
        <x:v>公开判定摘要：评测按模型拆job缩短CI关键路径。NPU CI独立；按模型拆分可缩短关键路径，但排队和总卡时需核算。 最终路由：medium/idea-copy/P2；源码依据与局限见精确复核及测试页。</x:v>
      </x:c>
      <x:c r="I10" s="1934" t="str">
        <x:v>先做NPU profiling/最小POC，收益成立后再实现</x:v>
      </x:c>
    </x:row>
    <x:row r="11" ht="93" customHeight="1">
      <x:c r="A11" s="1941" t="str">
        <x:v>#57951</x:v>
      </x:c>
      <x:c r="B11" s="1936" t="str">
        <x:v>P1 / patch-sync</x:v>
      </x:c>
      <x:c r="C11" s="1936" t="str">
        <x:v>当前源码真实覆盖：
vllm.v1.core.sched.scheduler.Scheduler.schedule → BalanceScheduler/DyntraLB/Recompute/ProfilingChunk.schedule（当前源码覆盖）</x:v>
      </x:c>
      <x:c r="D11" s="1936" t="str">
        <x:v>python-adapter</x:v>
      </x:c>
      <x:c r="E11" s="1936" t="str">
        <x:v>收益明确待适配
硬件无关：自有覆盖缺少上游机制</x:v>
      </x:c>
      <x:c r="F11" s="1936" t="str">
        <x:v>Ascend BalanceScheduler及DyntraLB/Recompute/ProfilingChunk自有schedule仍无条件应用long_prefill_token_threshold；platform能选这些类。默认共享路径可继承，覆盖路径相同空耗仍存在，需同步。</x:v>
      </x:c>
      <x:c r="G11" s="1936" t="str">
        <x:v>已知适配点：NPU多个自有schedule仍无条件限制单请求prefill，需同步上游单请求放宽门禁。</x:v>
      </x:c>
      <x:c r="H11" s="1936" t="str">
        <x:v>公开判定摘要：单请求prefill取消不必要阈值分块。NPU多个自有schedule仍无条件限制单请求prefill，需同步放宽门禁。 最终路由：medium/patch-sync/P1；源码依据与局限见精确复核及测试页。</x:v>
      </x:c>
      <x:c r="I11" s="1939" t="str">
        <x:v>同步适配：Adapter/实现同步+NPU回归；按验收方案完成NPU验证</x:v>
      </x:c>
    </x:row>
    <x:row r="12" ht="70" customHeight="1">
      <x:c r="A12" s="1930" t="str">
        <x:v>#57458</x:v>
      </x:c>
      <x:c r="B12" s="1931" t="str">
        <x:v>P2 / idea-copy</x:v>
      </x:c>
      <x:c r="C12" s="1931" t="str">
        <x:v>无旧映射命中；仍按源码复核</x:v>
      </x:c>
      <x:c r="D12" s="1931" t="str">
        <x:v>csrc/attention</x:v>
      </x:c>
      <x:c r="E12" s="1931" t="str">
        <x:v>平台差异可借鉴
硬件相关：平台实现不同，思路可验证</x:v>
      </x:c>
      <x:c r="F12" s="1931" t="str">
        <x:v>Ascend使用dsa_v1、自有indexer及NPU MLA算子，不进入FlashInfer safe_lengths/remap CUDA链；可借鉴单tile计数填充融合及空rope旁路。</x:v>
      </x:c>
      <x:c r="G12" s="1931" t="str">
        <x:v>未发现需完整扫描的未知断点</x:v>
      </x:c>
      <x:c r="H12" s="1931" t="str">
        <x:v>公开判定摘要：NoPE sparse MLA融合索引准备与消除空cat。NPU不使用FlashInfer路径，可借鉴索引准备融合和空rope旁路。 最终路由：medium/idea-copy/P2；源码依据与局限见精确复核及测试页。</x:v>
      </x:c>
      <x:c r="I12" s="1934" t="str">
        <x:v>不移植上游平台代码；按NPU有效路径借鉴方法并验证</x:v>
      </x:c>
    </x:row>
    <x:row r="13" ht="70" customHeight="1">
      <x:c r="A13" s="1941" t="str">
        <x:v>#57312</x:v>
      </x:c>
      <x:c r="B13" s="1936" t="str">
        <x:v>P2 / idea-copy</x:v>
      </x:c>
      <x:c r="C13" s="1936" t="str">
        <x:v>旧映射候选（不等于冲突）：
vllm.config
vllm.v1.spec_decode</x:v>
      </x:c>
      <x:c r="D13" s="1936" t="str">
        <x:v>python-adapter</x:v>
      </x:c>
      <x:c r="E13" s="1936" t="str">
        <x:v>平台差异可借鉴
硬件相关：平台实现不同，思路可验证</x:v>
      </x:c>
      <x:c r="F13" s="1936" t="str">
        <x:v>上游weight_cache/protocol.check_ipc_platform_support只允许is_cuda_alike；NPU不走CUDA IPC loader，现有rfork和NPU IPC权重传输不是此daemon协议。优化思想另列POC。</x:v>
      </x:c>
      <x:c r="G13" s="1936" t="str">
        <x:v>未发现需完整扫描的未知断点</x:v>
      </x:c>
      <x:c r="H13" s="1936" t="str">
        <x:v>公开判定摘要：draft独立daemon缓存避免重复加载。CUDA IPC缓存不支持NPU；target/draft角色隔离可借鉴至NPU缓存方案。 最终路由：medium/idea-copy/P2；源码依据与局限见精确复核及测试页。</x:v>
      </x:c>
      <x:c r="I13" s="1939" t="str">
        <x:v>不移植上游平台代码；按NPU有效路径借鉴方法并验证</x:v>
      </x:c>
    </x:row>
    <x:row r="14" ht="93" customHeight="1">
      <x:c r="A14" s="1942" t="str">
        <x:v>#57891</x:v>
      </x:c>
      <x:c r="B14" s="1943" t="str">
        <x:v>P1 / patch-sync</x:v>
      </x:c>
      <x:c r="C14" s="1943" t="str">
        <x:v>当前源码真实覆盖：
vllm.v1.worker.gpu_worker.Worker.sleep/wake_up → vllm_ascend.worker.worker.Worker.sleep/wake_up（独立覆盖）</x:v>
      </x:c>
      <x:c r="D14" s="1943" t="str">
        <x:v>python-adapter</x:v>
      </x:c>
      <x:c r="E14" s="1943" t="str">
        <x:v>收益明确待适配
硬件无关：自有覆盖缺少上游机制</x:v>
      </x:c>
      <x:c r="F14" s="1943" t="str">
        <x:v>Ascend worker.py自有sleep/wake_up，仅备份named_buffers，CaMemAllocator level2丢弃weights；未读取新sleep_preserve_parameter_names，也无named_parameters备份。trainer省略冻结参数时缺口确定。</x:v>
      </x:c>
      <x:c r="G14" s="1943" t="str">
        <x:v>已知适配点：NPU自有sleep/wake仅保存buffers，未实现冻结参数glob备份恢复。</x:v>
      </x:c>
      <x:c r="H14" s="1943" t="str">
        <x:v>公开判定摘要：睡眠保留冻结参数，减少不必要权重重传。NPU sleep仅保留buffers，缺少冻结参数保留；功能及免重传机制需适配。 最终路由：medium/patch-sync/P1；源码依据与局限见精确复核及测试页。</x:v>
      </x:c>
      <x:c r="I14" s="1946" t="str">
        <x:v>同步适配：Adapter/实现同步+NPU回归；按验收方案完成NPU验证</x:v>
      </x:c>
    </x:row>
    <x:row r="15" ht="70" customHeight="1">
      <x:c r="A15" s="1947" t="str">
        <x:v>#58065</x:v>
      </x:c>
      <x:c r="B15" s="1947" t="str">
        <x:v>P2 / idea-copy</x:v>
      </x:c>
      <x:c r="C15" s="1947" t="str">
        <x:v>旧映射候选（不等于冲突）：
vllm.config</x:v>
      </x:c>
      <x:c r="D15" s="1947" t="str">
        <x:v>python-adapter</x:v>
      </x:c>
      <x:c r="E15" s="1947" t="str">
        <x:v>收益不明确待验证
有效路径或实际瓶颈待验证</x:v>
      </x:c>
      <x:c r="F15" s="1949" t="str">
        <x:v>共享allowlist进入，但Ascend默认仍是V1，另有NPU DFlash/V2实现；不能把上游默认MRV2视为NPU默认。</x:v>
      </x:c>
      <x:c r="G15" s="1947" t="str">
        <x:v>未发现需完整扫描的未知断点</x:v>
      </x:c>
      <x:c r="H15" s="1949" t="str">
        <x:v>公开判定摘要：允许DFlash异步调度以重叠CPU工作。allowlist共享，但NPU默认V1及自有DFlash链需验证，不自动视为组合可用。 最终路由：medium/idea-copy/P2；源码依据与局限见精确复核及测试页。</x:v>
      </x:c>
      <x:c r="I15" s="1949" t="str">
        <x:v>先做NPU profiling/最小POC，收益成立后再实现</x:v>
      </x:c>
    </x:row>
    <x:row r="16" ht="70" customHeight="1">
      <x:c r="A16" s="1950" t="str">
        <x:v>#47842</x:v>
      </x:c>
      <x:c r="B16" s="1950" t="str">
        <x:v>P2 / idea-copy</x:v>
      </x:c>
      <x:c r="C16" s="1950" t="str">
        <x:v>无旧映射命中；仍按源码复核</x:v>
      </x:c>
      <x:c r="D16" s="1950" t="str">
        <x:v>python-adapter</x:v>
      </x:c>
      <x:c r="E16" s="1950" t="str">
        <x:v>收益不明确待验证
有效路径或实际瓶颈待验证</x:v>
      </x:c>
      <x:c r="F16" s="1952" t="str">
        <x:v>Ascend ops/gdn.py自有forward仍reshape为2D再norm/rearrange；AscendRMSNormGated走LayerNormFn而非AITER fusion。代码不自动进入，但reshape是否产生设备copy须NPU profile。</x:v>
      </x:c>
      <x:c r="G16" s="1950" t="str">
        <x:v>未发现需完整扫描的未知断点</x:v>
      </x:c>
      <x:c r="H16" s="1952" t="str">
        <x:v>公开判定摘要：GDN norm保留原rank以消除编译reshape copy。NPU自有GDN保留reshape；是否产生设备copy和净收益需profile。 最终路由：medium/idea-copy/P2；源码依据与局限见精确复核及测试页。</x:v>
      </x:c>
      <x:c r="I16" s="1952" t="str">
        <x:v>先做NPU profiling/最小POC，收益成立后再实现</x:v>
      </x:c>
    </x:row>
    <x:row r="17" ht="70" customHeight="1">
      <x:c r="A17" s="1947" t="str">
        <x:v>#50814</x:v>
      </x:c>
      <x:c r="B17" s="1947" t="str">
        <x:v>P2 / idea-copy</x:v>
      </x:c>
      <x:c r="C17" s="1947" t="str">
        <x:v>无旧映射命中；仍按源码复核</x:v>
      </x:c>
      <x:c r="D17" s="1947" t="str">
        <x:v>csrc/quantization</x:v>
      </x:c>
      <x:c r="E17" s="1947" t="str">
        <x:v>平台差异可借鉴
硬件相关：平台实现不同，思路可验证</x:v>
      </x:c>
      <x:c r="F17" s="1949" t="str">
        <x:v>NPU采用自有量化方法和算子，未进入上游EmulationMxfp4LinearKernel；可对确有逐步反量化的NPU回退路径借鉴，不能扩大BF16内存而忽视KV容量。</x:v>
      </x:c>
      <x:c r="G17" s="1947" t="str">
        <x:v>未发现需完整扫描的未知断点</x:v>
      </x:c>
      <x:c r="H17" s="1949" t="str">
        <x:v>公开判定摘要：仿真权重加载时一次反量化换取推理少计算。NPU量化路径独立，可借鉴一次反量化换计算，需权衡常驻内存与KV容量。 最终路由：medium/idea-copy/P2；源码依据与局限见精确复核及测试页。</x:v>
      </x:c>
      <x:c r="I17" s="1949" t="str">
        <x:v>不移植上游平台代码；按NPU有效路径借鉴方法并验证</x:v>
      </x:c>
    </x:row>
    <x:row r="18" ht="70" customHeight="1">
      <x:c r="A18" s="1950" t="str">
        <x:v>#57428</x:v>
      </x:c>
      <x:c r="B18" s="1950" t="str">
        <x:v>P2 / idea-copy</x:v>
      </x:c>
      <x:c r="C18" s="1950" t="str">
        <x:v>无旧映射命中；仍按源码复核</x:v>
      </x:c>
      <x:c r="D18" s="1950" t="str">
        <x:v>fallback_comm</x:v>
      </x:c>
      <x:c r="E18" s="1950" t="str">
        <x:v>平台差异可借鉴
硬件相关：平台实现不同，思路可验证</x:v>
      </x:c>
      <x:c r="F18" s="1952" t="str">
        <x:v>NPU DSV4.1模型使用自有wo_b/通信与HCCL，不执行SM100 CuTe multicast kernel；计算通信融合边界可借鉴，但布局/精度及同步须重做。</x:v>
      </x:c>
      <x:c r="G18" s="1950" t="str">
        <x:v>未发现需完整扫描的未知断点</x:v>
      </x:c>
      <x:c r="H18" s="1952" t="str">
        <x:v>公开判定摘要：GEMM与SP reduce-scatter融合减少往返。SM100 GEMM-RS不可直用，可借鉴NPU计算通信融合及按shape回退。 最终路由：medium/idea-copy/P2；源码依据与局限见精确复核及测试页。</x:v>
      </x:c>
      <x:c r="I18" s="1952" t="str">
        <x:v>不移植上游平台代码；按NPU有效路径借鉴方法并验证</x:v>
      </x:c>
    </x:row>
    <x:row r="19" ht="70" customHeight="1">
      <x:c r="A19" s="1947" t="str">
        <x:v>#58097</x:v>
      </x:c>
      <x:c r="B19" s="1947" t="str">
        <x:v>P2 / idea-copy</x:v>
      </x:c>
      <x:c r="C19" s="1947" t="str">
        <x:v>无旧映射命中；仍按源码复核</x:v>
      </x:c>
      <x:c r="D19" s="1947" t="str">
        <x:v>python-adapter</x:v>
      </x:c>
      <x:c r="E19" s="1947" t="str">
        <x:v>平台差异可借鉴
硬件相关：平台实现不同，思路可验证</x:v>
      </x:c>
      <x:c r="F19" s="1949" t="str">
        <x:v>上游cuobjdump/fatbin专属CUDA，Ascend使用AscendC/Triton-NPU和不同CI。可借鉴构建产物到测试的动态覆盖关联，不直接套用GPU symbol工具。</x:v>
      </x:c>
      <x:c r="G19" s="1947" t="str">
        <x:v>未发现需完整扫描的未知断点</x:v>
      </x:c>
      <x:c r="H19" s="1949" t="str">
        <x:v>公开判定摘要：构建symbol映射与运行trace联合缩小测试集合。CUDA symbol工具不可直用，可为NPU建立构建符号与测试动态覆盖映射。 最终路由：medium/idea-copy/P2；源码依据与局限见精确复核及测试页。</x:v>
      </x:c>
      <x:c r="I19" s="1949" t="str">
        <x:v>不移植上游平台代码；按NPU有效路径借鉴方法并验证</x:v>
      </x:c>
    </x:row>
    <x:row r="20" ht="70" customHeight="1">
      <x:c r="A20" s="1950" t="str">
        <x:v>#55385</x:v>
      </x:c>
      <x:c r="B20" s="1950" t="str">
        <x:v>P2 / idea-copy</x:v>
      </x:c>
      <x:c r="C20" s="1950" t="str">
        <x:v>无旧映射命中；仍按源码复核</x:v>
      </x:c>
      <x:c r="D20" s="1950" t="str">
        <x:v>csrc/attention</x:v>
      </x:c>
      <x:c r="E20" s="1950" t="str">
        <x:v>平台差异可借鉴
硬件相关：平台实现不同，思路可验证</x:v>
      </x:c>
      <x:c r="F20" s="1952" t="str">
        <x:v>SM90 FlashMLA/FA3不在NPU平台候选；Ascend自有DSA实现可借鉴NoPE几何专用路径和公平后端对照方法，不能移植FA内核。</x:v>
      </x:c>
      <x:c r="G20" s="1950" t="str">
        <x:v>未发现需完整扫描的未知断点</x:v>
      </x:c>
      <x:c r="H20" s="1952" t="str">
        <x:v>公开判定摘要：NoPE sparse MLA多后端比较与空rope旁路。SM90后端不进入NPU，可借鉴NoPE专用路径与固定上下文的公平对照。 最终路由：medium/idea-copy/P2；源码依据与局限见精确复核及测试页。</x:v>
      </x:c>
      <x:c r="I20" s="1952" t="str">
        <x:v>不移植上游平台代码；按NPU有效路径借鉴方法并验证</x:v>
      </x:c>
    </x:row>
    <x:row r="21" ht="70" customHeight="1">
      <x:c r="A21" s="1947" t="str">
        <x:v>#58109</x:v>
      </x:c>
      <x:c r="B21" s="1947" t="str">
        <x:v>P2 / idea-copy</x:v>
      </x:c>
      <x:c r="C21" s="1947" t="str">
        <x:v>无旧映射命中；仍按源码复核</x:v>
      </x:c>
      <x:c r="D21" s="1947" t="str">
        <x:v>python-adapter</x:v>
      </x:c>
      <x:c r="E21" s="1947" t="str">
        <x:v>收益不明确待验证
有效路径或实际瓶颈待验证</x:v>
      </x:c>
      <x:c r="F21" s="1949" t="str">
        <x:v>Rust model spec改为Arc持有processor；NPU Python前端不走Rust生命周期，实际Rust+NPU部署可达性未确认。仅作为构造复用收益候选。</x:v>
      </x:c>
      <x:c r="G21" s="1947" t="str">
        <x:v>未发现需完整扫描的未知断点</x:v>
      </x:c>
      <x:c r="H21" s="1949" t="str">
        <x:v>公开判定摘要：视觉processor模型级构造与复用。Rust processor复用机制存在，但实际NPU部署可达性和性能收益未确认。 最终路由：medium/idea-copy/P2；源码依据与局限见精确复核及测试页。</x:v>
      </x:c>
      <x:c r="I21" s="1949" t="str">
        <x:v>先做NPU profiling/最小POC，收益成立后再实现</x:v>
      </x:c>
    </x:row>
    <x:row r="22" ht="70" customHeight="1">
      <x:c r="A22" s="1950" t="str">
        <x:v>#55931</x:v>
      </x:c>
      <x:c r="B22" s="1950" t="str">
        <x:v>P2 / auto-inherit</x:v>
      </x:c>
      <x:c r="C22" s="1950" t="str">
        <x:v>旧映射候选（不等于冲突）：
vllm.v1.structured_output</x:v>
      </x:c>
      <x:c r="D22" s="1950" t="str">
        <x:v>none</x:v>
      </x:c>
      <x:c r="E22" s="1950" t="str">
        <x:v>直接继承
硬件无关：共享路径进入，NPU收益待验证</x:v>
      </x:c>
      <x:c r="F22" s="1952" t="str">
        <x:v>Ascend patch_structured_output包装SamplingParams与StructuredOutputManager，未覆盖StructuredOutputRequest._check_grammar_completion；共享done/result逻辑进入所有相关scheduler。</x:v>
      </x:c>
      <x:c r="G22" s="1950" t="str">
        <x:v>未发现需完整扫描的未知断点</x:v>
      </x:c>
      <x:c r="H22" s="1952" t="str">
        <x:v>公开判定摘要：grammar就绪检查非阻塞，去除逐请求空等。NPU共用grammar future轮询，非阻塞修复进入；实际调度收益待测。 最终路由：medium/auto-inherit/P2；源码依据与局限见精确复核及测试页。</x:v>
      </x:c>
      <x:c r="I22" s="1952" t="str">
        <x:v>直接继承；做NPU回归与收益确认</x:v>
      </x:c>
    </x:row>
    <x:row r="23" ht="70" customHeight="1">
      <x:c r="A23"/>
      <x:c r="B23"/>
      <x:c r="C23"/>
      <x:c r="D23"/>
      <x:c r="E23"/>
      <x:c r="F23"/>
      <x:c r="G23"/>
      <x:c r="H23"/>
      <x:c r="I23"/>
    </x:row>
    <x:row r="24" ht="70" customHeight="1">
      <x:c r="A24"/>
      <x:c r="B24"/>
      <x:c r="C24"/>
      <x:c r="D24"/>
      <x:c r="E24"/>
      <x:c r="F24"/>
      <x:c r="G24"/>
      <x:c r="H24"/>
      <x:c r="I24"/>
    </x:row>
    <x:row r="25" ht="70" customHeight="1">
      <x:c r="A25"/>
      <x:c r="B25"/>
      <x:c r="C25"/>
      <x:c r="D25"/>
      <x:c r="E25"/>
      <x:c r="F25"/>
      <x:c r="G25"/>
      <x:c r="H25"/>
      <x:c r="I25"/>
    </x:row>
    <x:row r="26" ht="70" customHeight="1">
      <x:c r="A26"/>
      <x:c r="B26"/>
      <x:c r="C26"/>
      <x:c r="D26"/>
      <x:c r="E26"/>
      <x:c r="F26"/>
      <x:c r="G26"/>
      <x:c r="H26"/>
      <x:c r="I26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38f7647a5a842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55" hidden="0" customWidth="1"/>
    <x:col min="4" max="4" width="55" hidden="0" customWidth="1"/>
    <x:col min="5" max="5" width="58" hidden="0" customWidth="1"/>
    <x:col min="6" max="6" width="32" hidden="0" customWidth="1"/>
  </x:cols>
  <x:sheetData>
    <x:row r="1" ht="30" customHeight="1">
      <x:c r="A1" s="71" t="str">
        <x:v>上游测试条件、可核验收益与 NPU 验证</x:v>
      </x:c>
      <x:c r="B1" s="71"/>
      <x:c r="C1" s="71"/>
      <x:c r="D1" s="71"/>
      <x:c r="E1" s="71"/>
      <x:c r="F1" s="71"/>
    </x:row>
    <x:row r="2" ht="34" customHeight="1">
      <x:c r="A2" s="8" t="str">
        <x:v>收益只填PR可核验数据；未提供A/B的记录明确注明，不把GPU结果外推到NPU。</x:v>
      </x:c>
      <x:c r="B2" s="8"/>
      <x:c r="C2" s="8"/>
      <x:c r="D2" s="8"/>
      <x:c r="E2" s="8"/>
      <x:c r="F2" s="8"/>
    </x:row>
    <x:row r="4" ht="34" customHeight="1">
      <x:c r="A4" s="1924" t="str">
        <x:v>PR</x:v>
      </x:c>
      <x:c r="B4" s="1924" t="str">
        <x:v>第一责任人</x:v>
      </x:c>
      <x:c r="C4" s="1924" t="str">
        <x:v>上游测试条件</x:v>
      </x:c>
      <x:c r="D4" s="1924" t="str">
        <x:v>PR可核验结果</x:v>
      </x:c>
      <x:c r="E4" s="1924" t="str">
        <x:v>NPU验证方案</x:v>
      </x:c>
      <x:c r="F4" s="1924" t="str">
        <x:v>关注KPI</x:v>
      </x:c>
    </x:row>
    <x:row r="5" ht="70" customHeight="1">
      <x:c r="A5" s="1954" t="str">
        <x:v>#54185</x:v>
      </x:c>
      <x:c r="B5" s="1955" t="str">
        <x:v>魏谨谦</x:v>
      </x:c>
      <x:c r="C5" s="1956" t="str">
        <x:v>8×MI355X，Qwen3.8-2.4T-A95B MXFP4、TP8，输入/输出1024，并发4/8/16/32/128；基线1轮、候选3轮中位。</x:v>
      </x:c>
      <x:c r="D5" s="1956" t="str">
        <x:v>上游C4吞吐279.6→289.4 token/s（+3.5%）；全并发几何均值仅+0.5%。gate kernel约2倍不等于整模2倍。</x:v>
      </x:c>
      <x:c r="E5" s="1956" t="str">
        <x:v>profile NPU gate投影shape与launch，比较现有linear和优化GEMM分派；覆盖低高并发与量化精度。</x:v>
      </x:c>
      <x:c r="F5" s="1957" t="str">
        <x:v>时延、吞吐与资源占用；NPU收益待实测，不预填。</x:v>
      </x:c>
    </x:row>
    <x:row r="6" ht="70" customHeight="1">
      <x:c r="A6" s="1930" t="str">
        <x:v>#55608</x:v>
      </x:c>
      <x:c r="B6" s="1931" t="str">
        <x:v>张新悦</x:v>
      </x:c>
      <x:c r="C6" s="1933" t="str">
        <x:v>RTX4090 Laptop、本地registry、Qwen3-0.6B、4CPU，每轮新store，3轮；这是镜像冷启动，不是decode吞吐。</x:v>
      </x:c>
      <x:c r="D6" s="1933" t="str">
        <x:v>上游字节8,664,824,384→6,999,776,144（-19.2%）；首次正确响应中位144.51→118.02秒，配对节省22.19秒。</x:v>
      </x:c>
      <x:c r="E6" s="1933" t="str">
        <x:v>在Ascend发布链增加可选zstd变体，先验证Docker/containerd/Enroot及镜像扫描兼容，测真实远端拉取到首响应。</x:v>
      </x:c>
      <x:c r="F6" s="1934" t="str">
        <x:v>镜像大小、拉取解压及首次响应时间；NPU收益待实测，不预填。</x:v>
      </x:c>
    </x:row>
    <x:row r="7" ht="70" customHeight="1">
      <x:c r="A7" s="1958" t="str">
        <x:v>#50592</x:v>
      </x:c>
      <x:c r="B7" s="1959" t="str">
        <x:v>龙钢</x:v>
      </x:c>
      <x:c r="C7" s="1960" t="str">
        <x:v>8×MI355X Kimi-K3 BF16/MXFP4、TP8，无投机，prefix63911+4089输入、输出1024，C16/24；1预热3轮。</x:v>
      </x:c>
      <x:c r="D7" s="1960" t="str">
        <x:v>上游C16 TPOT73.141→72.428ms、吞吐193.575→195.555；C24吞吐278.245→280.452（+0.79%）。</x:v>
      </x:c>
      <x:c r="E7" s="1960" t="str">
        <x:v>NPU按attention返回、KDA norm copy及残差prefix_sum分别抓trace，仅优化真实多余copy；校验残差捕获与ACLgraph地址。</x:v>
      </x:c>
      <x:c r="F7" s="1961" t="str">
        <x:v>时延、吞吐与资源占用；NPU收益待实测，不预填。</x:v>
      </x:c>
    </x:row>
    <x:row r="8" ht="70" customHeight="1">
      <x:c r="A8" s="1930" t="str">
        <x:v>#51360</x:v>
      </x:c>
      <x:c r="B8" s="1931" t="str">
        <x:v>徐驰</x:v>
      </x:c>
      <x:c r="C8" s="1933" t="str">
        <x:v>H100 PCIe80GB、Qwen3-32B BF16 TP1，model/cache驻留，artifact逐次驱逐，各3次；H200仅生命周期验收。</x:v>
      </x:c>
      <x:c r="D8" s="1933" t="str">
        <x:v>历史H100 Qwen3-32B激活54.7029→20.3795秒（-62.7%，各3样本）；非最终H200镜像时延结论。</x:v>
      </x:c>
      <x:c r="E8" s="1933" t="str">
        <x:v>先验证NPU进程/allocator/流可恢复边界，隔离可复用CPU初始化；建立同版本指纹、token oracle与失败清理，不直接调用CUDA checkpoint。</x:v>
      </x:c>
      <x:c r="F8" s="1934" t="str">
        <x:v>冷激活时延、快照大小和恢复正确性；NPU收益待实测，不预填。</x:v>
      </x:c>
    </x:row>
    <x:row r="9" ht="70" customHeight="1">
      <x:c r="A9" s="1958" t="str">
        <x:v>#57737</x:v>
      </x:c>
      <x:c r="B9" s="1959" t="str">
        <x:v>郭小辉</x:v>
      </x:c>
      <x:c r="C9" s="1960" t="str">
        <x:v>H100、all-MiniLM-L6-v2、MRV2 pooling、eager、maxlen64；关闭多进程，保留LLM对象后shutdown；非吞吐测量。</x:v>
      </x:c>
      <x:c r="D9" s="1960" t="str">
        <x:v>上游H100 MiniLM保留allocated 80,732,672→33,801,728字节，约释放47MB；weakref由存活变释放。</x:v>
      </x:c>
      <x:c r="E9" s="1960" t="str">
        <x:v>保留LLM/worker对象，调用shutdown后查模型weakref与torch.npu.memory_allocated；embedding输出和多次关闭回归。</x:v>
      </x:c>
      <x:c r="F9" s="1961" t="str">
        <x:v>shutdown后allocated与模型引用；NPU收益待实测，不预填。</x:v>
      </x:c>
    </x:row>
    <x:row r="10" ht="70" customHeight="1">
      <x:c r="A10" s="1930" t="str">
        <x:v>#57965</x:v>
      </x:c>
      <x:c r="B10" s="1931" t="str">
        <x:v>吴文俊</x:v>
      </x:c>
      <x:c r="C10" s="1933" t="str">
        <x:v>六项DeepSeek/Nemotron GSM8K，原8×H200串行；拆五job可占40卡，基于四个main build日志估算，AMD不变。</x:v>
      </x:c>
      <x:c r="D10" s="1933" t="str">
        <x:v>旧job wall41–75分钟；新最慢pytest18.6分钟来自旧日志分项预测，非新流水线实测；总worker-min约72→82亦为估算。</x:v>
      </x:c>
      <x:c r="E10" s="1933" t="str">
        <x:v>按Ascend nightly实际耗时拆最慢模型组，确认用例不重不漏、并发卡预算与排队时间；同时报告总卡时。</x:v>
      </x:c>
      <x:c r="F10" s="1934" t="str">
        <x:v>CI关键路径、排队和总卡时；NPU收益待实测，不预填。</x:v>
      </x:c>
    </x:row>
    <x:row r="11" ht="70" customHeight="1">
      <x:c r="A11" s="1958" t="str">
        <x:v>#57951</x:v>
      </x:c>
      <x:c r="B11" s="1959" t="str">
        <x:v>姜凯强</x:v>
      </x:c>
      <x:c r="C11" s="1960" t="str">
        <x:v>调度单元测试覆盖单请求与多请求；硬件、模型、输入输出与服务benchmark未披露。</x:v>
      </x:c>
      <x:c r="D11" s="1960" t="str">
        <x:v>PR仅185个测试通过，未提供TTFT/吞吐A/B；删除闲置token预算限制的机制明确，NPU收益数值未测。</x:v>
      </x:c>
      <x:c r="E11" s="1960" t="str">
        <x:v>在各有效schedule统一计算running+waiting+skipped_waiting是否&gt;1，再用于running/waiting两分支；保留ProfilingChunk额外预算和PD约束，回归公平性及TTFT。</x:v>
      </x:c>
      <x:c r="F11" s="1961" t="str">
        <x:v>单请求TTFT、每步实际token数和多请求公平性；NPU收益待实测，不预填。</x:v>
      </x:c>
    </x:row>
    <x:row r="12" ht="70" customHeight="1">
      <x:c r="A12" s="1930" t="str">
        <x:v>#57458</x:v>
      </x:c>
      <x:c r="B12" s="1931" t="str">
        <x:v>朱意霖</x:v>
      </x:c>
      <x:c r="C12" s="1933" t="str">
        <x:v>4×GB300，GLM-5.3-Flash TP4/EP4 eager，FP8 KV，无prefix/投机；输入32768，输出1/128；4交替轮各5对。</x:v>
      </x:c>
      <x:c r="D12" s="1933" t="str">
        <x:v>上游32K prefill TTFT518.25→507.61ms（-2.05%）；decode ITL122.85→120.77ms（-1.70%）。</x:v>
      </x:c>
      <x:c r="E12" s="1933" t="str">
        <x:v>NPU profile index remap、fill、计数及query concat；确认零行与DCP局部选择语义再融合，覆盖2176/4096及大容量回退。</x:v>
      </x:c>
      <x:c r="F12" s="1934" t="str">
        <x:v>时延、吞吐与资源占用；NPU收益待实测，不预填。</x:v>
      </x:c>
    </x:row>
    <x:row r="13" ht="70" customHeight="1">
      <x:c r="A13" s="1958" t="str">
        <x:v>#57312</x:v>
      </x:c>
      <x:c r="B13" s="1959" t="str">
        <x:v>徐驰</x:v>
      </x:c>
      <x:c r="C13" s="1960" t="str">
        <x:v>上游CUDA-alike IPC loader、target与draft同TP；最终方法集合mtp/eagle/eagle3，未披露硬件模型及轮次。</x:v>
      </x:c>
      <x:c r="D13" s="1960" t="str">
        <x:v>PR未提供加载时延或内存A/B；只记录缓存角色隔离与避免重复加载机制。</x:v>
      </x:c>
      <x:c r="E13" s="1960" t="str">
        <x:v>结合Ascend rfork/NPU IPC loader评估独立draft缓存key与生命周期，校验别名/ownership flag、socket冲突和不支持draft回退磁盘。</x:v>
      </x:c>
      <x:c r="F13" s="1961" t="str">
        <x:v>draft加载耗时、磁盘读取量和缓存命中；NPU收益待实测，不预填。</x:v>
      </x:c>
    </x:row>
    <x:row r="14" ht="70" customHeight="1">
      <x:c r="A14" s="1942" t="str">
        <x:v>#57891</x:v>
      </x:c>
      <x:c r="B14" s="1943" t="str">
        <x:v>刘荣</x:v>
      </x:c>
      <x:c r="C14" s="1945" t="str">
        <x:v>GB200小Llama三轮sleep/wake；另有8rank VERL及两主机TP8集成，输入输出/并发非性能A/B口径。</x:v>
      </x:c>
      <x:c r="D14" s="1945" t="str">
        <x:v>上游GB200三次level2循环保留lm_head全部16,384字节和data_ptr；未给重传时延收益。VERL的202.758GB CPU驻留是保留正确性，非节省量。</x:v>
      </x:c>
      <x:c r="E14" s="1945" t="str">
        <x:v>在NPU sleep前按glob备份选中参数、weights wake原位恢复并释放；验证未匹配报错、CPU权重、三轮sleep、图地址稳定及host容量，trainer必须不覆盖保留权重。</x:v>
      </x:c>
      <x:c r="F14" s="1946" t="str">
        <x:v>冻结参数传输量、sleep/wake耗时和host峰值；NPU收益待实测，不预填。</x:v>
      </x:c>
    </x:row>
    <x:row r="15" ht="70" customHeight="1">
      <x:c r="A15" s="1962" t="str">
        <x:v>#58065</x:v>
      </x:c>
      <x:c r="B15" s="1962" t="str">
        <x:v>李泽桐</x:v>
      </x:c>
      <x:c r="C15" s="1963" t="str">
        <x:v>4×GB200 Qwen3.8-27B+DFlash2，TP4、draft TRITON_ATTN全图；输入1输出1000、并发1，2预热4请求。</x:v>
      </x:c>
      <x:c r="D15" s="1963" t="str">
        <x:v>上游bs1 TPOT2.127→1.510ms，decode470.2→662.3token/s（约+41%）；采用合成接受长度6。</x:v>
      </x:c>
      <x:c r="E15" s="1963" t="str">
        <x:v>分别显式开启V2和V1测试异步输出/拒绝采样，记录支持矩阵，不支持组合明确拒绝。比较真实接受率与合成口径，测低高并发TPOT/P99。</x:v>
      </x:c>
      <x:c r="F15" s="1963" t="str">
        <x:v>时延、吞吐与资源占用；NPU收益待实测，不预填。</x:v>
      </x:c>
    </x:row>
    <x:row r="16" ht="70" customHeight="1">
      <x:c r="A16" s="1950" t="str">
        <x:v>#47842</x:v>
      </x:c>
      <x:c r="B16" s="1950" t="str">
        <x:v>曾彦嘉</x:v>
      </x:c>
      <x:c r="C16" s="1952" t="str">
        <x:v>8×MI355X Qwen3.8-2.4T-A95B MXFP4 TP8，输入/输出1024，C4/16/64；同commit stock比较。</x:v>
      </x:c>
      <x:c r="D16" s="1952" t="str">
        <x:v>上游MI355X C4/16/64吞吐分别+0.8%/+0.5%/+0.4%，每点仅一次；216 norm测试通过。</x:v>
      </x:c>
      <x:c r="E16" s="1952" t="str">
        <x:v>记录NPU norm输入stride/shape和设备trace，验证LayerNormFn的3D语义，再移除真正产生copy的reshape；同时回归量化与ACLgraph。</x:v>
      </x:c>
      <x:c r="F16" s="1952" t="str">
        <x:v>时延、吞吐与资源占用；NPU收益待实测，不预填。</x:v>
      </x:c>
    </x:row>
    <x:row r="17" ht="70" customHeight="1">
      <x:c r="A17" s="1962" t="str">
        <x:v>#50814</x:v>
      </x:c>
      <x:c r="B17" s="1962" t="str">
        <x:v>王锟鹏</x:v>
      </x:c>
      <x:c r="C17" s="1963" t="str">
        <x:v>历史MI355X Kimi-K3 MXFP4 TP8；旧runtime与新AITER结果不同，不混算。PR未完整披露输入输出及各轮次。</x:v>
      </x:c>
      <x:c r="D17" s="1963" t="str">
        <x:v>历史C1 emulation TPOT402.43→90.97ms，C4 177.14→109.98ms；不是当前head独立A/B，C16等无对应基线。</x:v>
      </x:c>
      <x:c r="E17" s="1963" t="str">
        <x:v>先找NPU重复反量化回退，比较加载展开与融合反量化GEMM；同时测权重驻留、KV预算、TTFT/TPOT和精度，默认保持关闭。</x:v>
      </x:c>
      <x:c r="F17" s="1963" t="str">
        <x:v>时延、吞吐与资源占用；NPU收益待实测，不预填。</x:v>
      </x:c>
    </x:row>
    <x:row r="18" ht="70" customHeight="1">
      <x:c r="A18" s="1950" t="str">
        <x:v>#57428</x:v>
      </x:c>
      <x:c r="B18" s="1950" t="str">
        <x:v>毛琦</x:v>
      </x:c>
      <x:c r="C18" s="1952" t="str">
        <x:v>4×B200 DSV4.1 TP4/EP4，MXFP8、FP8 KV，无投机；算子40样本；服务8K/1K C16/32各两轮对照。</x:v>
      </x:c>
      <x:c r="D18" s="1952" t="str">
        <x:v>上游M2048算子100.9→63.5微秒（-37.1%）；M128反而+9.7%。服务8K/1K C32吞吐+2.9%，波动接近收益。</x:v>
      </x:c>
      <x:c r="E18" s="1952" t="str">
        <x:v>NPU量测wo_b和HCCL独立耗时与下界，按token数选择融合/回退；验证TP/EP/SP、padding、舍入和图同步，服务至少多轮交替。</x:v>
      </x:c>
      <x:c r="F18" s="1952" t="str">
        <x:v>时延、吞吐与资源占用；NPU收益待实测，不预填。</x:v>
      </x:c>
    </x:row>
    <x:row r="19" ht="70" customHeight="1">
      <x:c r="A19" s="1962" t="str">
        <x:v>#58097</x:v>
      </x:c>
      <x:c r="B19" s="1962" t="str">
        <x:v>张新悦</x:v>
      </x:c>
      <x:c r="C19" s="1963" t="str">
        <x:v>CUDA13构建567对象、187个CUDA nightly步骤的运行记录；非模型并发benchmark，默认开关关闭。</x:v>
      </x:c>
      <x:c r="D19" s="1963" t="str">
        <x:v>上游62秒生成映射，10,447 kernel符号；示例选择6个job并剔除176个。没有实际CI总耗时前后A/B。</x:v>
      </x:c>
      <x:c r="E19" s="1963" t="str">
        <x:v>为Ascend构建产物和NPU profiler建立源码→算子→测试映射，变更头文件扩大依赖，无映射时全量回退，先影子模式验证漏选率。</x:v>
      </x:c>
      <x:c r="F19" s="1963" t="str">
        <x:v>选择测试数、漏选率、映射开销与CI卡时；NPU收益待实测，不预填。</x:v>
      </x:c>
    </x:row>
    <x:row r="20" ht="70" customHeight="1">
      <x:c r="A20" s="1950" t="str">
        <x:v>#55385</x:v>
      </x:c>
      <x:c r="B20" s="1950" t="str">
        <x:v>朱意霖</x:v>
      </x:c>
      <x:c r="C20" s="1952" t="str">
        <x:v>4×H200 GLM-5.3-Flash BF16 TP4，maxlen36000；96/384请求，不同seed预热，每后端两次新服务。</x:v>
      </x:c>
      <x:c r="D20" s="1952" t="str">
        <x:v>修正后FA3吞吐相对FI：32K/512 C32 +2.2%，4K/1K C128 +2.6%；旧16–32%数字作废。</x:v>
      </x:c>
      <x:c r="E20" s="1952" t="str">
        <x:v>NPU对rope0/head512检查无用拼接和支持门禁；固定max_model_len/prefix/输入长度比较后端，分开host plan与kernel时延。</x:v>
      </x:c>
      <x:c r="F20" s="1952" t="str">
        <x:v>时延、吞吐与资源占用；NPU收益待实测，不预填。</x:v>
      </x:c>
    </x:row>
    <x:row r="21" ht="70" customHeight="1">
      <x:c r="A21" s="1962" t="str">
        <x:v>#58109</x:v>
      </x:c>
      <x:c r="B21" s="1962" t="str">
        <x:v>龙钢</x:v>
      </x:c>
      <x:c r="C21" s="1963" t="str">
        <x:v>Rust CPU预处理及真实模型配置golden测试；GPU/NPU生成未验证，硬件/模型并发性能条件未披露。</x:v>
      </x:c>
      <x:c r="D21" s="1963" t="str">
        <x:v>474个chat/text测试通过，依赖382个通过；无构造开销或E2E性能A/B，不用测试数量充当收益。</x:v>
      </x:c>
      <x:c r="E21" s="1963" t="str">
        <x:v>先确认实际Rust+NPU入口，再测并发图像视频下构造次数、CPU时延和内存；验证模型配置隔离、错误传播与processor线程安全。</x:v>
      </x:c>
      <x:c r="F21" s="1963" t="str">
        <x:v>时延、吞吐与资源占用；NPU收益待实测，不预填。</x:v>
      </x:c>
    </x:row>
    <x:row r="22" ht="70" customHeight="1">
      <x:c r="A22" s="1950" t="str">
        <x:v>#55931</x:v>
      </x:c>
      <x:c r="B22" s="1950" t="str">
        <x:v>温劲</x:v>
      </x:c>
      <x:c r="C22" s="1952" t="str">
        <x:v>共享结构化输出Future轮询单测；无硬件、模型、输入输出和服务A/B，理论量按积压数推算。</x:v>
      </x:c>
      <x:c r="D22" s="1952" t="str">
        <x:v>PR分析473个pending请求×100微秒约47ms/step为理论等待量，非实测加速；2个针对性测试通过。</x:v>
      </x:c>
      <x:c r="E22" s="1952" t="str">
        <x:v>未完成Future不阻塞；已完成且抛TimeoutError应结束为失败，不能永久等待。积压数递增测schedule时长和请求隔离。</x:v>
      </x:c>
      <x:c r="F22" s="1952" t="str">
        <x:v>schedule时长、pending grammar数和请求尾延迟；NPU收益待实测，不预填。</x:v>
      </x:c>
    </x:row>
    <x:row r="23" ht="70" customHeight="1">
      <x:c r="A23"/>
      <x:c r="B23"/>
      <x:c r="C23"/>
      <x:c r="D23"/>
      <x:c r="E23"/>
      <x:c r="F23"/>
    </x:row>
    <x:row r="24" ht="70" customHeight="1">
      <x:c r="A24"/>
      <x:c r="B24"/>
      <x:c r="C24"/>
      <x:c r="D24"/>
      <x:c r="E24"/>
      <x:c r="F24"/>
    </x:row>
    <x:row r="25" ht="70" customHeight="1">
      <x:c r="A25"/>
      <x:c r="B25"/>
      <x:c r="C25"/>
      <x:c r="D25"/>
      <x:c r="E25"/>
      <x:c r="F25"/>
    </x:row>
    <x:row r="26" ht="70" customHeight="1">
      <x:c r="A26"/>
      <x:c r="B26"/>
      <x:c r="C26"/>
      <x:c r="D26"/>
      <x:c r="E26"/>
      <x:c r="F2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a3d636f1dd641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14" hidden="0" customWidth="1"/>
    <x:col min="4" max="4" width="14" hidden="0" customWidth="1"/>
    <x:col min="5" max="5" width="14" hidden="0" customWidth="1"/>
    <x:col min="6" max="6" width="58" hidden="0" customWidth="1"/>
    <x:col min="7" max="7" width="34" hidden="0" customWidth="1"/>
  </x:cols>
  <x:sheetData>
    <x:row r="1" ht="30" customHeight="1">
      <x:c r="A1" s="4" t="str">
        <x:v>PR Review 原始证据</x:v>
      </x:c>
      <x:c r="B1" s="4"/>
      <x:c r="C1" s="4"/>
      <x:c r="D1" s="4"/>
      <x:c r="E1" s="4"/>
      <x:c r="F1" s="4"/>
      <x:c r="G1" s="4"/>
    </x:row>
    <x:row r="2" ht="34" customHeight="1">
      <x:c r="A2" s="8" t="str">
        <x:v>保留Review、行级评论、Issue评论计数和PR原始URL；机器人状态评论不单独决定迁移结论。</x:v>
      </x:c>
      <x:c r="B2" s="8"/>
      <x:c r="C2" s="8"/>
      <x:c r="D2" s="8"/>
      <x:c r="E2" s="8"/>
      <x:c r="F2" s="8"/>
      <x:c r="G2" s="8"/>
    </x:row>
    <x:row r="4" ht="34" customHeight="1">
      <x:c r="A4" s="1924" t="str">
        <x:v>PR</x:v>
      </x:c>
      <x:c r="B4" s="1924" t="str">
        <x:v>标题</x:v>
      </x:c>
      <x:c r="C4" s="1924" t="str">
        <x:v>Review正文数</x:v>
      </x:c>
      <x:c r="D4" s="1924" t="str">
        <x:v>行级评论数</x:v>
      </x:c>
      <x:c r="E4" s="1924" t="str">
        <x:v>Issue评论数</x:v>
      </x:c>
      <x:c r="F4" s="1924" t="str">
        <x:v>影响结论的Review摘要</x:v>
      </x:c>
      <x:c r="G4" s="1924" t="str">
        <x:v>原始证据URL</x:v>
      </x:c>
    </x:row>
    <x:row r="5" ht="70" customHeight="1">
      <x:c r="A5" s="1953" t="str">
        <x:v>#54185</x:v>
      </x:c>
      <x:c r="B5" s="1926" t="str">
        <x:v>[ROCm][Perf] Route the fused shared-expert gate GEMM through the platform dispatcher</x:v>
      </x:c>
      <x:c r="C5" s="1964" t="n">
        <x:v>2</x:v>
      </x:c>
      <x:c r="D5" s="1964" t="n">
        <x:v>0</x:v>
      </x:c>
      <x:c r="E5" s="1964" t="n">
        <x:v>7</x:v>
      </x:c>
      <x:c r="F5" s="1928" t="str">
        <x:v>收益集中低并发；不能因共享MoERunner类便宣称NPU自动加速。</x:v>
      </x:c>
      <x:c r="G5" s="1929" t="str">
        <x:v>https://github.com/vllm-project/vllm/pull/54185</x:v>
      </x:c>
    </x:row>
    <x:row r="6" ht="70" customHeight="1">
      <x:c r="A6" s="1930" t="str">
        <x:v>#55608</x:v>
      </x:c>
      <x:c r="B6" s="1931" t="str">
        <x:v>[Docker] Use zstd for CI images and offer a Docker Hub variant</x:v>
      </x:c>
      <x:c r="C6" s="1965" t="n">
        <x:v>5</x:v>
      </x:c>
      <x:c r="D6" s="1965" t="n">
        <x:v>2</x:v>
      </x:c>
      <x:c r="E6" s="1965" t="n">
        <x:v>10</x:v>
      </x:c>
      <x:c r="F6" s="1933" t="str">
        <x:v>gzip保留；Docker20/Enroot3.5等旧运行时存在兼容风险，不能统一替换。</x:v>
      </x:c>
      <x:c r="G6" s="1934" t="str">
        <x:v>https://github.com/vllm-project/vllm/pull/55608</x:v>
      </x:c>
    </x:row>
    <x:row r="7" ht="70" customHeight="1">
      <x:c r="A7" s="1941" t="str">
        <x:v>#50592</x:v>
      </x:c>
      <x:c r="B7" s="1936" t="str">
        <x:v>[Kimi-K3][AMD] Return KDA and MLA projection outputs directly</x:v>
      </x:c>
      <x:c r="C7" s="1966" t="n">
        <x:v>5</x:v>
      </x:c>
      <x:c r="D7" s="1966" t="n">
        <x:v>0</x:v>
      </x:c>
      <x:c r="E7" s="1966" t="n">
        <x:v>30</x:v>
      </x:c>
      <x:c r="F7" s="1938" t="str">
        <x:v>不要重做NPU已有返回值方案；93个copy删除统计是AMD路径，不是NPU测量。</x:v>
      </x:c>
      <x:c r="G7" s="1939" t="str">
        <x:v>https://github.com/vllm-project/vllm/pull/50592</x:v>
      </x:c>
    </x:row>
    <x:row r="8" ht="70" customHeight="1">
      <x:c r="A8" s="1930" t="str">
        <x:v>#51360</x:v>
      </x:c>
      <x:c r="B8" s="1931" t="str">
        <x:v>[Frontend] Add reusable TP1 initialized-engine snapshots</x:v>
      </x:c>
      <x:c r="C8" s="1965" t="n">
        <x:v>35</x:v>
      </x:c>
      <x:c r="D8" s="1965" t="n">
        <x:v>37</x:v>
      </x:c>
      <x:c r="E8" s="1965" t="n">
        <x:v>67</x:v>
      </x:c>
      <x:c r="F8" s="1933" t="str">
        <x:v>仅同机Linux x86_64 TP1，特权artifact含内存秘密；最终性能与历史测试SHA必须区分。</x:v>
      </x:c>
      <x:c r="G8" s="1934" t="str">
        <x:v>https://github.com/vllm-project/vllm/pull/51360</x:v>
      </x:c>
    </x:row>
    <x:row r="9" ht="70" customHeight="1">
      <x:c r="A9" s="1941" t="str">
        <x:v>#57737</x:v>
      </x:c>
      <x:c r="B9" s="1936" t="str">
        <x:v>[Pooling] MRV2 pooling shutdown model ref</x:v>
      </x:c>
      <x:c r="C9" s="1966" t="n">
        <x:v>3</x:v>
      </x:c>
      <x:c r="D9" s="1966" t="n">
        <x:v>0</x:v>
      </x:c>
      <x:c r="E9" s="1966" t="n">
        <x:v>5</x:v>
      </x:c>
      <x:c r="F9" s="1938" t="str">
        <x:v>只在关闭生命周期获益，不能写为运行中KV容量或推理吞吐提升。</x:v>
      </x:c>
      <x:c r="G9" s="1939" t="str">
        <x:v>https://github.com/vllm-project/vllm/pull/57737</x:v>
      </x:c>
    </x:row>
    <x:row r="10" ht="70" customHeight="1">
      <x:c r="A10" s="1930" t="str">
        <x:v>#57965</x:v>
      </x:c>
      <x:c r="B10" s="1931" t="str">
        <x:v>[CI] Split (H200) LM Eval Large Models into per-model jobs</x:v>
      </x:c>
      <x:c r="C10" s="1965" t="n">
        <x:v>1</x:v>
      </x:c>
      <x:c r="D10" s="1965" t="n">
        <x:v>0</x:v>
      </x:c>
      <x:c r="E10" s="1965" t="n">
        <x:v>2</x:v>
      </x:c>
      <x:c r="F10" s="1933" t="str">
        <x:v>不能把预计最长job缩短直接填为CI实测节省。</x:v>
      </x:c>
      <x:c r="G10" s="1934" t="str">
        <x:v>https://github.com/vllm-project/vllm/pull/57965</x:v>
      </x:c>
    </x:row>
    <x:row r="11" ht="70" customHeight="1">
      <x:c r="A11" s="1941" t="str">
        <x:v>#57951</x:v>
      </x:c>
      <x:c r="B11" s="1936" t="str">
        <x:v>[Scheduler] Soften Long Prefill Tokens Threshhold</x:v>
      </x:c>
      <x:c r="C11" s="1966" t="n">
        <x:v>2</x:v>
      </x:c>
      <x:c r="D11" s="1966" t="n">
        <x:v>0</x:v>
      </x:c>
      <x:c r="E11" s="1966" t="n">
        <x:v>6</x:v>
      </x:c>
      <x:c r="F11" s="1938" t="str">
        <x:v>不是所有chunk限制都删除；max_num_batched_tokens和专用调度预算仍有效。</x:v>
      </x:c>
      <x:c r="G11" s="1939" t="str">
        <x:v>https://github.com/vllm-project/vllm/pull/57951</x:v>
      </x:c>
    </x:row>
    <x:row r="12" ht="70" customHeight="1">
      <x:c r="A12" s="1930" t="str">
        <x:v>#57458</x:v>
      </x:c>
      <x:c r="B12" s="1931" t="str">
        <x:v>[Perf][Attention] Reduce GLM sparse MLA preparation overhead</x:v>
      </x:c>
      <x:c r="C12" s="1931" t="n">
        <x:v>4</x:v>
      </x:c>
      <x:c r="D12" s="1931" t="n">
        <x:v>2</x:v>
      </x:c>
      <x:c r="E12" s="1931" t="n">
        <x:v>3</x:v>
      </x:c>
      <x:c r="F12" s="1933" t="str">
        <x:v>旧微基准和最终服务A/B口径不同；不能删除NPU需要的空行mask。</x:v>
      </x:c>
      <x:c r="G12" s="1934" t="str">
        <x:v>https://github.com/vllm-project/vllm/pull/57458</x:v>
      </x:c>
    </x:row>
    <x:row r="13" ht="70" customHeight="1">
      <x:c r="A13" s="1941" t="str">
        <x:v>#57312</x:v>
      </x:c>
      <x:c r="B13" s="1936" t="str">
        <x:v>[Fast Start] Cache the MTP draft model in a separate daemon group</x:v>
      </x:c>
      <x:c r="C13" s="1936" t="n">
        <x:v>5</x:v>
      </x:c>
      <x:c r="D13" s="1936" t="n">
        <x:v>4</x:v>
      </x:c>
      <x:c r="E13" s="1936" t="n">
        <x:v>6</x:v>
      </x:c>
      <x:c r="F13" s="1938" t="str">
        <x:v>以最终diff为准，不沿用正文MTP-only和_draft0.sock描述。</x:v>
      </x:c>
      <x:c r="G13" s="1939" t="str">
        <x:v>https://github.com/vllm-project/vllm/pull/57312</x:v>
      </x:c>
    </x:row>
    <x:row r="14" ht="70" customHeight="1">
      <x:c r="A14" s="1942" t="str">
        <x:v>#57891</x:v>
      </x:c>
      <x:c r="B14" s="1943" t="str">
        <x:v>[RL][Sleep] Retain frozen weights across level-2 sleep</x:v>
      </x:c>
      <x:c r="C14" s="1943" t="n">
        <x:v>2</x:v>
      </x:c>
      <x:c r="D14" s="1943" t="n">
        <x:v>0</x:v>
      </x:c>
      <x:c r="E14" s="1943" t="n">
        <x:v>3</x:v>
      </x:c>
      <x:c r="F14" s="1945" t="str">
        <x:v>明确功能适配必须完成；收益方向为免传冻结参数，不声称NPU已提速或节省全部CPU驻留量。</x:v>
      </x:c>
      <x:c r="G14" s="1946" t="str">
        <x:v>https://github.com/vllm-project/vllm/pull/57891</x:v>
      </x:c>
    </x:row>
    <x:row r="15" ht="70" customHeight="1">
      <x:c r="A15" s="1947" t="str">
        <x:v>#58065</x:v>
      </x:c>
      <x:c r="B15" s="1947" t="str">
        <x:v>[Spec Decode] Enable async scheduling for DFlash</x:v>
      </x:c>
      <x:c r="C15" s="1947" t="n">
        <x:v>2</x:v>
      </x:c>
      <x:c r="D15" s="1947" t="n">
        <x:v>0</x:v>
      </x:c>
      <x:c r="E15" s="1947" t="n">
        <x:v>0</x:v>
      </x:c>
      <x:c r="F15" s="1949" t="str">
        <x:v>配置放行不等于NPU组合可用；上游额外关闭allreduce-rms融合并使用特定draft后端。</x:v>
      </x:c>
      <x:c r="G15" s="1949" t="str">
        <x:v>https://github.com/vllm-project/vllm/pull/58065</x:v>
      </x:c>
    </x:row>
    <x:row r="16" ht="70" customHeight="1">
      <x:c r="A16" s="1950" t="str">
        <x:v>#47842</x:v>
      </x:c>
      <x:c r="B16" s="1950" t="str">
        <x:v>[ROCm][Perf] Avoid extra reshape kernel in Qwen GDN output norm</x:v>
      </x:c>
      <x:c r="C16" s="1950" t="n">
        <x:v>4</x:v>
      </x:c>
      <x:c r="D16" s="1950" t="n">
        <x:v>0</x:v>
      </x:c>
      <x:c r="E16" s="1950" t="n">
        <x:v>21</x:v>
      </x:c>
      <x:c r="F16" s="1952" t="str">
        <x:v>最终diff是共享Qwen代码，不应按ROCm标题直接skip；NPU独立forward仍需验证。</x:v>
      </x:c>
      <x:c r="G16" s="1952" t="str">
        <x:v>https://github.com/vllm-project/vllm/pull/47842</x:v>
      </x:c>
    </x:row>
    <x:row r="17" ht="70" customHeight="1">
      <x:c r="A17" s="1947" t="str">
        <x:v>#50814</x:v>
      </x:c>
      <x:c r="B17" s="1947" t="str">
        <x:v>[Kernel] Add opt-in load-time MXFP4 dequantization</x:v>
      </x:c>
      <x:c r="C17" s="1947" t="n">
        <x:v>5</x:v>
      </x:c>
      <x:c r="D17" s="1947" t="n">
        <x:v>4</x:v>
      </x:c>
      <x:c r="E17" s="1947" t="n">
        <x:v>11</x:v>
      </x:c>
      <x:c r="F17" s="1949" t="str">
        <x:v>原生MXFP4与MoE无变化；新runtime相对BF16的1.93%不能归因本开关。</x:v>
      </x:c>
      <x:c r="G17" s="1949" t="str">
        <x:v>https://github.com/vllm-project/vllm/pull/50814</x:v>
      </x:c>
    </x:row>
    <x:row r="18" ht="70" customHeight="1">
      <x:c r="A18" s="1950" t="str">
        <x:v>#57428</x:v>
      </x:c>
      <x:c r="B18" s="1950" t="str">
        <x:v>[Kernel][DSV4.1] Fuse MXFP8 wo_b GEMM with sequence-parallel reduce-scatter</x:v>
      </x:c>
      <x:c r="C18" s="1950" t="n">
        <x:v>9</x:v>
      </x:c>
      <x:c r="D18" s="1950" t="n">
        <x:v>6</x:v>
      </x:c>
      <x:c r="E18" s="1950" t="n">
        <x:v>19</x:v>
      </x:c>
      <x:c r="F18" s="1952" t="str">
        <x:v>小batch融合会回退，不能把算子37.1%当整模收益；1K/2K服务差异被高波动覆盖。</x:v>
      </x:c>
      <x:c r="G18" s="1952" t="str">
        <x:v>https://github.com/vllm-project/vllm/pull/57428</x:v>
      </x:c>
    </x:row>
    <x:row r="19" ht="70" customHeight="1">
      <x:c r="A19" s="1947" t="str">
        <x:v>#58097</x:v>
      </x:c>
      <x:c r="B19" s="1947" t="str">
        <x:v>[CI] Emit a kernel symbol map from the csrc build (opt-in, for test selection)</x:v>
      </x:c>
      <x:c r="C19" s="1947" t="n">
        <x:v>1</x:v>
      </x:c>
      <x:c r="D19" s="1947" t="n">
        <x:v>0</x:v>
      </x:c>
      <x:c r="E19" s="1947" t="n">
        <x:v>1</x:v>
      </x:c>
      <x:c r="F19" s="1949" t="str">
        <x:v>不得将无symbol或采集失败解释为无需测试；脚本失败仅输出reason，消费端必须守住回退。</x:v>
      </x:c>
      <x:c r="G19" s="1949" t="str">
        <x:v>https://github.com/vllm-project/vllm/pull/58097</x:v>
      </x:c>
    </x:row>
    <x:row r="20" ht="70" customHeight="1">
      <x:c r="A20" s="1950" t="str">
        <x:v>#55385</x:v>
      </x:c>
      <x:c r="B20" s="1950" t="str">
        <x:v>[perf] wire FA and FlashMLA for sm90 GLM5Next NoPE SparseMLA</x:v>
      </x:c>
      <x:c r="C20" s="1950" t="n">
        <x:v>6</x:v>
      </x:c>
      <x:c r="D20" s="1950" t="n">
        <x:v>5</x:v>
      </x:c>
      <x:c r="E20" s="1950" t="n">
        <x:v>14</x:v>
      </x:c>
      <x:c r="F20" s="1952" t="str">
        <x:v>Review发现长maxlen混淆；FA无prefix组合IMA另立问题，不宣称本PR解决。</x:v>
      </x:c>
      <x:c r="G20" s="1952" t="str">
        <x:v>https://github.com/vllm-project/vllm/pull/55385</x:v>
      </x:c>
    </x:row>
    <x:row r="21" ht="70" customHeight="1">
      <x:c r="A21" s="1947" t="str">
        <x:v>#58109</x:v>
      </x:c>
      <x:c r="B21" s="1947" t="str">
        <x:v>[Rust Frontend] Construct model-owned vision processors through specs</x:v>
      </x:c>
      <x:c r="C21" s="1947" t="n">
        <x:v>2</x:v>
      </x:c>
      <x:c r="D21" s="1947" t="n">
        <x:v>0</x:v>
      </x:c>
      <x:c r="E21" s="1947" t="n">
        <x:v>2</x:v>
      </x:c>
      <x:c r="F21" s="1949" t="str">
        <x:v>这是生命周期重构，不承诺一定提速；在无Rust部署时不算直接承接。</x:v>
      </x:c>
      <x:c r="G21" s="1949" t="str">
        <x:v>https://github.com/vllm-project/vllm/pull/58109</x:v>
      </x:c>
    </x:row>
    <x:row r="22" ht="70" customHeight="1">
      <x:c r="A22" s="1950" t="str">
        <x:v>#55931</x:v>
      </x:c>
      <x:c r="B22" s="1950" t="str">
        <x:v>[BugFix][Core] Make the structured-output grammar poll non-blocking</x:v>
      </x:c>
      <x:c r="C22" s="1950" t="n">
        <x:v>2</x:v>
      </x:c>
      <x:c r="D22" s="1950" t="n">
        <x:v>0</x:v>
      </x:c>
      <x:c r="E22" s="1950" t="n">
        <x:v>11</x:v>
      </x:c>
      <x:c r="F22" s="1952" t="str">
        <x:v>正确性与调度等待收益分别管理；done检查不减少grammar编译本身时间。</x:v>
      </x:c>
      <x:c r="G22" s="1952" t="str">
        <x:v>https://github.com/vllm-project/vllm/pull/55931</x:v>
      </x:c>
    </x:row>
    <x:row r="23" ht="70" customHeight="1">
      <x:c r="A23"/>
      <x:c r="B23"/>
      <x:c r="C23"/>
      <x:c r="D23"/>
      <x:c r="E23"/>
      <x:c r="F23"/>
      <x:c r="G23"/>
    </x:row>
    <x:row r="24" ht="70" customHeight="1">
      <x:c r="A24"/>
      <x:c r="B24"/>
      <x:c r="C24"/>
      <x:c r="D24"/>
      <x:c r="E24"/>
      <x:c r="F24"/>
      <x:c r="G24"/>
    </x:row>
    <x:row r="25" ht="70" customHeight="1">
      <x:c r="A25"/>
      <x:c r="B25"/>
      <x:c r="C25"/>
      <x:c r="D25"/>
      <x:c r="E25"/>
      <x:c r="F25"/>
      <x:c r="G25"/>
    </x:row>
    <x:row r="26" ht="70" customHeight="1">
      <x:c r="A26"/>
      <x:c r="B26"/>
      <x:c r="C26"/>
      <x:c r="D26"/>
      <x:c r="E26"/>
      <x:c r="F26"/>
      <x:c r="G2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7de951d3cc244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92" hidden="0" customWidth="1"/>
  </x:cols>
  <x:sheetData>
    <x:row r="1" ht="30" customHeight="1">
      <x:c r="A1" s="4" t="str">
        <x:v>流水线、时间窗与版本锚点</x:v>
      </x:c>
      <x:c r="B1" s="4"/>
      <x:c r="C1" s="4"/>
    </x:row>
    <x:row r="2" ht="34" customHeight="1">
      <x:c r="A2" s="8" t="str">
        <x:v>GraphQL mergedAt保证窗口完整性；main-lys V3负责价值/迁移路由；pinned old/new/Ascend源码负责最终关系复核，只有常规追踪无法闭环时才触发main2main完整接口扫描。</x:v>
      </x:c>
      <x:c r="B2" s="8"/>
      <x:c r="C2" s="8"/>
    </x:row>
    <x:row r="4" ht="34" customHeight="1">
      <x:c r="A4" s="1924" t="str">
        <x:v>项目</x:v>
      </x:c>
      <x:c r="B4" s="1924" t="str">
        <x:v>值</x:v>
      </x:c>
      <x:c r="C4" s="1924" t="str">
        <x:v>来源/说明</x:v>
      </x:c>
    </x:row>
    <x:row r="5" ht="46" customHeight="1">
      <x:c r="A5" s="427" t="str">
        <x:v>流水线仓库</x:v>
      </x:c>
      <x:c r="B5" s="428" t="str">
        <x:v>SOMEONEUNSEEN/vllm-report</x:v>
      </x:c>
      <x:c r="C5" s="429" t="str">
        <x:v>https://github.com/SOMEONEUNSEEN/vllm-report/tree/main-lys/templates</x:v>
      </x:c>
    </x:row>
    <x:row r="6" ht="46" customHeight="1">
      <x:c r="A6" s="430" t="str">
        <x:v>main-lys HEAD</x:v>
      </x:c>
      <x:c r="B6" s="312" t="str">
        <x:v>2c815be15c4e094447c38d67f666e590492f4c28</x:v>
      </x:c>
      <x:c r="C6" s="313" t="str">
        <x:v>https://github.com/SOMEONEUNSEEN/vllm-report/commit/2c815be15c4e094447c38d67f666e590492f4c28</x:v>
      </x:c>
    </x:row>
    <x:row r="7" ht="46" customHeight="1">
      <x:c r="A7" s="431" t="str">
        <x:v>流程输入</x:v>
      </x:c>
      <x:c r="B7" s="432" t="str">
        <x:v>templates/SKILL.md + optimization_prompt.txt</x:v>
      </x:c>
      <x:c r="C7" s="433" t="str">
        <x:v>最新四阶段/12步V3流程；PR description、Review和architecture作为输入</x:v>
      </x:c>
    </x:row>
    <x:row r="8" ht="46" customHeight="1">
      <x:c r="A8" s="430" t="str">
        <x:v>原仓库程序执行</x:v>
      </x:c>
      <x:c r="B8" s="312" t="str">
        <x:v>scripts/deep_analyze.py；输入52条</x:v>
      </x:c>
      <x:c r="C8" s="313" t="str">
        <x:v>实际运行原程序；关键词输出 performance=0、bugfix=34、feature=14。其输出只作工作流归类参照；AI按最终diff/Review/源码识别18条优化。原始结果保留在pipeline-data。</x:v>
      </x:c>
    </x:row>
    <x:row r="9" ht="46" customHeight="1">
      <x:c r="A9" s="431" t="str">
        <x:v>程序边界</x:v>
      </x:c>
      <x:c r="B9" s="432" t="str">
        <x:v>精确窗口采集替代daily_refresh自然日采集</x:v>
      </x:c>
      <x:c r="C9" s="433" t="str">
        <x:v>daily_refresh按自然日重抓且会破坏滚动水位，因此未运行；未调用外部LLM_API_KEY服务。AI完成语义阶段并按仓库SKILL/Prompt/Schema路由，不声称未执行的外部模型程序已运行。</x:v>
      </x:c>
    </x:row>
    <x:row r="10" ht="46" customHeight="1">
      <x:c r="A10" s="430" t="str">
        <x:v>Skill/Prompt/Schema blob</x:v>
      </x:c>
      <x:c r="B10" s="312" t="str">
        <x:v>c544793f707dc8ee9e3158c685710e975b03f854 / b01765081d2a9aa6f2b1260b027c309894acf3b2 / 3e8f82c5013831f997452d32f8ff6c3725f201af</x:v>
      </x:c>
      <x:c r="C10" s="313" t="str">
        <x:v>GitHub pinned Contents与本地原文件逐字节一致</x:v>
      </x:c>
    </x:row>
    <x:row r="11" ht="46" customHeight="1">
      <x:c r="A11" s="431" t="str">
        <x:v>Schema</x:v>
      </x:c>
      <x:c r="B11" s="432" t="str">
        <x:v>UpstreamOptimizationRecordV3</x:v>
      </x:c>
      <x:c r="C11" s="433" t="str">
        <x:v>官方optimization_schema.json；严格校验通过</x:v>
      </x:c>
    </x:row>
    <x:row r="12" ht="46" customHeight="1">
      <x:c r="A12" s="430" t="str">
        <x:v>窗口开始</x:v>
      </x:c>
      <x:c r="B12" s="312" t="str">
        <x:v>2026-09-22 01:00:58.960（Asia/Hong_Kong）</x:v>
      </x:c>
      <x:c r="C12" s="313" t="str">
        <x:v>左闭</x:v>
      </x:c>
    </x:row>
    <x:row r="13" ht="46" customHeight="1">
      <x:c r="A13" s="431" t="str">
        <x:v>窗口cutoff</x:v>
      </x:c>
      <x:c r="B13" s="432" t="str">
        <x:v>2026-09-23 01:01:54.707（Asia/Hong_Kong）</x:v>
      </x:c>
      <x:c r="C13" s="433" t="str">
        <x:v>右开</x:v>
      </x:c>
    </x:row>
    <x:row r="14" ht="46" customHeight="1">
      <x:c r="A14" s="430" t="str">
        <x:v>vLLM old SHA</x:v>
      </x:c>
      <x:c r="B14" s="312" t="str">
        <x:v>986e217158a9ed54eca8307c6bb9abac7c5b2278</x:v>
      </x:c>
      <x:c r="C14" s="313" t="str">
        <x:v>起点前最后main提交</x:v>
      </x:c>
    </x:row>
    <x:row r="15" ht="46" customHeight="1">
      <x:c r="A15" s="431" t="str">
        <x:v>vLLM cutoff SHA</x:v>
      </x:c>
      <x:c r="B15" s="432" t="str">
        <x:v>74370a0e3044c16b6ba58f9c144b02ab733cd73a</x:v>
      </x:c>
      <x:c r="C15" s="433" t="str">
        <x:v>https://github.com/vllm-project/vllm/commit/74370a0e3044c16b6ba58f9c144b02ab733cd73a</x:v>
      </x:c>
    </x:row>
    <x:row r="16" ht="46" customHeight="1">
      <x:c r="A16" s="430" t="str">
        <x:v>vllm-ascend SHA</x:v>
      </x:c>
      <x:c r="B16" s="312" t="str">
        <x:v>a71b766ce6fc0a9669a412e15a5cf53f7f827093</x:v>
      </x:c>
      <x:c r="C16" s="313" t="str">
        <x:v>https://github.com/vllm-project/vllm-ascend/commit/a71b766ce6fc0a9669a412e15a5cf53f7f827093</x:v>
      </x:c>
    </x:row>
    <x:row r="17" ht="46" customHeight="1">
      <x:c r="A17" s="431" t="str">
        <x:v>verified vLLM SHA</x:v>
      </x:c>
      <x:c r="B17" s="432" t="str">
        <x:v>84030bbe3d74d99bad477a3d2e37a973ccd8865c</x:v>
      </x:c>
      <x:c r="C17" s="433" t="str">
        <x:v>.github/vllm-main-verified.commit</x:v>
      </x:c>
    </x:row>
    <x:row r="18" ht="46" customHeight="1">
      <x:c r="A18" s="430" t="str">
        <x:v>区间合入PR</x:v>
      </x:c>
      <x:c r="B18" s="312" t="n">
        <x:v>52</x:v>
      </x:c>
      <x:c r="C18" s="313" t="str">
        <x:v>GraphQL mergedAt左闭右开精确筛选；原始分页和52个diff已留存</x:v>
      </x:c>
    </x:row>
    <x:row r="19" ht="46" customHeight="1">
      <x:c r="A19" s="431" t="str">
        <x:v>优化分析记录</x:v>
      </x:c>
      <x:c r="B19" s="432" t="n">
        <x:v>18</x:v>
      </x:c>
      <x:c r="C19" s="433" t="str">
        <x:v>性能、功能性收益、构建效率；允许与Bugfix交叉</x:v>
      </x:c>
    </x:row>
    <x:row r="20" ht="46" customHeight="1">
      <x:c r="A20" s="434" t="str">
        <x:v>Bugfix记录</x:v>
      </x:c>
      <x:c r="B20" s="324" t="n">
        <x:v>28</x:v>
      </x:c>
      <x:c r="C20" s="325" t="str">
        <x:v>运行时、安全、模型/协议及CI/测试缺陷；无版本分支匹配和证据等级列</x:v>
      </x:c>
    </x:row>
    <x:row r="21" ht="46" customHeight="1">
      <x:c r="A21" s="179" t="str">
        <x:v>功能/接口记录</x:v>
      </x:c>
      <x:c r="B21" s="128" t="n">
        <x:v>16</x:v>
      </x:c>
      <x:c r="C21" s="128" t="str">
        <x:v>新增能力、接口或校验职责变化</x:v>
      </x:c>
    </x:row>
    <x:row r="22" ht="46" customHeight="1">
      <x:c r="A22" s="180" t="str">
        <x:v>全部PR分析</x:v>
      </x:c>
      <x:c r="B22" s="132" t="n">
        <x:v>52</x:v>
      </x:c>
      <x:c r="C22" s="132" t="str">
        <x:v>全部PR页逐条说明问题、方案、原因和是否Bugfix</x:v>
      </x:c>
    </x:row>
    <x:row r="23" ht="46" customHeight="1">
      <x:c r="A23" s="179" t="str">
        <x:v>V3结论</x:v>
      </x:c>
      <x:c r="B23" s="128" t="str">
        <x:v>P0=0；P1=2；P2=16；P3=0；skip=0</x:v>
      </x:c>
      <x:c r="C23" s="128" t="str">
        <x:v>按main-lys矩阵</x:v>
      </x:c>
    </x:row>
    <x:row r="24" ht="46" customHeight="1">
      <x:c r="A24" s="135" t="str">
        <x:v>五类最终结论</x:v>
      </x:c>
      <x:c r="B24" s="135" t="str">
        <x:v>直接继承=2；收益明确待适配=2；收益不明确待验证=5；平台差异可借鉴=9；不可用=0</x:v>
      </x:c>
      <x:c r="C24" s="135" t="str">
        <x:v>AI语义分析+main-lys路由+import/继承/override/patch/调用链复核</x:v>
      </x:c>
    </x:row>
    <x:row r="25" ht="46" customHeight="1">
      <x:c r="A25" s="135" t="str">
        <x:v>main2main 调用门控</x:v>
      </x:c>
      <x:c r="B25" s="135" t="str">
        <x:v>直接源码复核完成；未触发完整接口扫描</x:v>
      </x:c>
      <x:c r="C25" s="135" t="str">
        <x:v>已知接口/功能缺口已直接源码闭环，未触发完整接口分析器。NPU运行及性能收益尚待验证，不代表全仓零风险。 本窗口已确认KV分组关键字、冻结参数sleep及自有调度器同步点。NPU收益和整模组合仍需验证。</x:v>
      </x:c>
    </x:row>
    <x:row r="26" ht="46" customHeight="1">
      <x:c r="A26" s="135" t="str">
        <x:v>精确源码复核</x:v>
      </x:c>
      <x:c r="B26" s="135" t="str">
        <x:v>pinned old/new/Ascend：import、继承、override、patch、调用链</x:v>
      </x:c>
      <x:c r="C26" s="135" t="str">
        <x:v>52条main逐commit校验tree；#55390旧关键字调用冲突、#57891冻结参数保留缺口、#57951自有调度器覆盖。#58061已有NPU等价实现。未运行全仓接口分析器及NPU实测。</x:v>
      </x:c>
    </x:row>
    <x:row r="27" ht="46" customHeight="1">
      <x:c r="A27" s="135" t="str">
        <x:v>旧架构映射的边界</x:v>
      </x:c>
      <x:c r="B27" s="135" t="str">
        <x:v>architecture.json生成于2026-06-22</x:v>
      </x:c>
      <x:c r="C27" s="135" t="str">
        <x:v>patch_impact_map只作为候选提示；最终冲突与可达性由cutoff源码复核，不沿用旧never_affected_paths把NPU native offload判为不可达。</x:v>
      </x:c>
    </x:row>
    <x:row r="28" ht="46" customHeight="1">
      <x:c r="A28" s="135" t="str">
        <x:v>用户口径覆盖原提示词</x:v>
      </x:c>
      <x:c r="B28" s="135" t="str">
        <x:v>平台路径不自动skip；真实CI缺陷仍入Bugfix台账</x:v>
      </x:c>
      <x:c r="C28" s="135" t="str">
        <x:v>按本任务已确认的五类口径，平台实现不可直用但有具体NPU借鉴入口的记录保留idea-copy；不沿用原Prompt的纯平台/CI统一跳过规则。待POC不等于已取得收益。</x:v>
      </x:c>
    </x:row>
    <x:row r="29" ht="46" customHeight="1">
      <x:c r="A29" s="135" t="str">
        <x:v>结论差异口径</x:v>
      </x:c>
      <x:c r="B29" s="135" t="str">
        <x:v>V3路由与五类结论的一致性检查</x:v>
      </x:c>
      <x:c r="C29" s="135" t="str">
        <x:v>这两列是同一条AI分析的不同管理编码，不是两个独立模型投票。关键词原程序输出与最终语义分类单独保留。</x:v>
      </x:c>
    </x:row>
    <x:row r="30" ht="46" customHeight="1">
      <x:c r="A30" s="135" t="str">
        <x:v>初始化校验修正</x:v>
      </x:c>
      <x:c r="B30" s="135" t="str">
        <x:v>init_run_verified_anchor.py校验main锚点</x:v>
      </x:c>
      <x:c r="C30" s="135" t="str">
        <x:v>原skill helper误在Ascend对象库解析vLLM verified SHA；本次仅将本地副本的锚点验证改到vLLM对象库，未更改安装的skill；ISO时间保留毫秒及偏移。</x:v>
      </x:c>
    </x:row>
    <x:row r="31" ht="46" customHeight="1">
      <x:c r="A31" s="135" t="str">
        <x:v>版本关系解释</x:v>
      </x:c>
      <x:c r="B31" s="135" t="str">
        <x:v>cutoff主干为分析目标；verified为Ascend已验证依赖锚点</x:v>
      </x:c>
      <x:c r="C31" s="135" t="str">
        <x:v>理论继承指升到本次目标vLLM后的源码关系，不表示verified已包含所有修复，也不表示NPU收益已实测。</x:v>
      </x:c>
    </x:row>
    <x:row r="32" ht="46" customHeight="1">
      <x:c r="A32" s="135" t="str">
        <x:v>Excel格式基准</x:v>
      </x:c>
      <x:c r="B32" s="135" t="str">
        <x:v>最近成功的20260921-20260922 V3工作簿</x:v>
      </x:c>
      <x:c r="C32" s="135" t="str">
        <x:v>继承用户确认的8月V3版式，完整保留11页；template SHA256见模板审计凭证；未另改已有报告。</x:v>
      </x:c>
    </x:row>
    <x:row r="33" ht="46" customHeight="1">
      <x:c r="A33"/>
      <x:c r="B33"/>
      <x:c r="C33"/>
    </x:row>
    <x:row r="34" ht="46" customHeight="1">
      <x:c r="A34"/>
      <x:c r="B34"/>
      <x:c r="C34"/>
    </x:row>
    <x:row r="35" ht="46" customHeight="1">
      <x:c r="A35"/>
      <x:c r="B35"/>
      <x:c r="C35"/>
    </x:row>
    <x:row r="36" ht="46" customHeight="1">
      <x:c r="A36"/>
      <x:c r="B36"/>
      <x:c r="C36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0a797a459bf46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45" hidden="0" customWidth="1"/>
    <x:col min="5" max="5" width="45" hidden="0" customWidth="1"/>
    <x:col min="6" max="6" width="45" hidden="0" customWidth="1"/>
  </x:cols>
  <x:sheetData>
    <x:row r="1" ht="30" customHeight="1">
      <x:c r="A1" s="4" t="str">
        <x:v>统计看板</x:v>
      </x:c>
      <x:c r="B1" s="4"/>
      <x:c r="C1" s="4"/>
      <x:c r="D1" s="4"/>
      <x:c r="E1" s="4"/>
      <x:c r="F1" s="4"/>
    </x:row>
    <x:row r="2" ht="34" customHeight="1">
      <x:c r="A2" s="8" t="str">
        <x:v>数量由“优化点总表”公式计算；快速核对18条优化、V3迁移和五类最终结论。</x:v>
      </x:c>
      <x:c r="B2" s="8"/>
      <x:c r="C2" s="8"/>
      <x:c r="D2" s="8"/>
      <x:c r="E2" s="8"/>
      <x:c r="F2" s="8"/>
    </x:row>
    <x:row r="4" ht="34" customHeight="1">
      <x:c r="A4" s="326" t="str">
        <x:v>统计项</x:v>
      </x:c>
      <x:c r="B4" s="326" t="str">
        <x:v>数量</x:v>
      </x:c>
      <x:c r="D4" s="436" t="str">
        <x:v>结论说明</x:v>
      </x:c>
      <x:c r="E4" s="436"/>
      <x:c r="F4" s="436"/>
    </x:row>
    <x:row r="5" ht="28" customHeight="1">
      <x:c r="A5" s="1996" t="str">
        <x:v>总记录</x:v>
      </x:c>
      <x:c r="B5" s="186" t="n">
        <x:f>COUNTA('优化点总表'!$B$5:$B$22)</x:f>
        <x:v>18</x:v>
      </x:c>
      <x:c r="D5" s="553" t="str">
        <x:v>五类复核：#57951/#57891收益明确待适配；#55608/#57965/#58065/#47842/#58109收益不明确待验证；#54185/#50592/#51360/#57458/#57312/#50814/#57428/#58097/#55385平台差异可借鉴。
重点项以行动清单和精确代码复核页为准；所有结论均按本窗口cutoff源码、PR diff与Review证据生成。</x:v>
      </x:c>
      <x:c r="E5" s="554"/>
      <x:c r="F5" s="555"/>
    </x:row>
    <x:row r="6" ht="28" customHeight="1">
      <x:c r="A6" s="1996" t="str">
        <x:v>V3 P0</x:v>
      </x:c>
      <x:c r="B6" s="186" t="n">
        <x:f>COUNTIF('优化点总表'!$A$5:$A$22,"P0")</x:f>
        <x:v>0</x:v>
      </x:c>
      <x:c r="D6" s="556"/>
      <x:c r="E6" s="557"/>
      <x:c r="F6" s="558"/>
    </x:row>
    <x:row r="7" ht="28" customHeight="1">
      <x:c r="A7" s="1996" t="str">
        <x:v>V3 P1</x:v>
      </x:c>
      <x:c r="B7" s="186" t="n">
        <x:f>COUNTIF('优化点总表'!$A$5:$A$22,"P1")</x:f>
        <x:v>2</x:v>
      </x:c>
      <x:c r="D7" s="556"/>
      <x:c r="E7" s="557"/>
      <x:c r="F7" s="558"/>
    </x:row>
    <x:row r="8" ht="28" customHeight="1">
      <x:c r="A8" s="1996" t="str">
        <x:v>V3 P2</x:v>
      </x:c>
      <x:c r="B8" s="186" t="n">
        <x:f>COUNTIF('优化点总表'!$A$5:$A$22,"P2")</x:f>
        <x:v>16</x:v>
      </x:c>
      <x:c r="D8" s="556"/>
      <x:c r="E8" s="557"/>
      <x:c r="F8" s="558"/>
    </x:row>
    <x:row r="9" ht="28" customHeight="1">
      <x:c r="A9" s="1996" t="str">
        <x:v>V3 P3</x:v>
      </x:c>
      <x:c r="B9" s="186" t="n">
        <x:f>COUNTIF('优化点总表'!$A$5:$A$22,"P3")</x:f>
        <x:v>0</x:v>
      </x:c>
      <x:c r="D9" s="556"/>
      <x:c r="E9" s="557"/>
      <x:c r="F9" s="558"/>
    </x:row>
    <x:row r="10" ht="28" customHeight="1">
      <x:c r="A10" s="1996" t="str">
        <x:v>V3 skip</x:v>
      </x:c>
      <x:c r="B10" s="186" t="n">
        <x:f>COUNTIF('优化点总表'!$A$5:$A$22,"skip")</x:f>
        <x:v>0</x:v>
      </x:c>
      <x:c r="D10" s="556"/>
      <x:c r="E10" s="557"/>
      <x:c r="F10" s="558"/>
    </x:row>
    <x:row r="11" ht="28" customHeight="1">
      <x:c r="A11" s="1996" t="str">
        <x:v>V3 patch-sync</x:v>
      </x:c>
      <x:c r="B11" s="186" t="n">
        <x:f>COUNTIF('优化点总表'!$G$5:$G$22,"patch-sync")</x:f>
        <x:v>2</x:v>
      </x:c>
      <x:c r="D11" s="556"/>
      <x:c r="E11" s="557"/>
      <x:c r="F11" s="558"/>
    </x:row>
    <x:row r="12" ht="28" customHeight="1">
      <x:c r="A12" s="1996" t="str">
        <x:v>最终：直接继承</x:v>
      </x:c>
      <x:c r="B12" s="186" t="n">
        <x:f>COUNTIF('优化点总表'!$K$5:$K$22,"直接继承")</x:f>
        <x:v>2</x:v>
      </x:c>
      <x:c r="D12" s="559"/>
      <x:c r="E12" s="560"/>
      <x:c r="F12" s="561"/>
    </x:row>
    <x:row r="13" ht="28" customHeight="1">
      <x:c r="A13" s="1996" t="str">
        <x:v>最终：收益明确待适配</x:v>
      </x:c>
      <x:c r="B13" s="186" t="n">
        <x:f>COUNTIF('优化点总表'!$K$5:$K$22,"收益明确待适配")</x:f>
        <x:v>2</x:v>
      </x:c>
      <x:c r="D13" s="557"/>
      <x:c r="E13" s="557"/>
      <x:c r="F13" s="557"/>
    </x:row>
    <x:row r="14" ht="28" customHeight="1">
      <x:c r="A14" s="1996" t="str">
        <x:v>最终：收益不明确待验证</x:v>
      </x:c>
      <x:c r="B14" s="186" t="n">
        <x:f>COUNTIF('优化点总表'!$K$5:$K$22,"收益不明确待验证")</x:f>
        <x:v>5</x:v>
      </x:c>
      <x:c r="D14" s="557"/>
      <x:c r="E14" s="557"/>
      <x:c r="F14" s="557"/>
    </x:row>
    <x:row r="15" ht="28" customHeight="1">
      <x:c r="A15" s="1996" t="str">
        <x:v>最终：平台差异可借鉴</x:v>
      </x:c>
      <x:c r="B15" s="186" t="n">
        <x:f>COUNTIF('优化点总表'!$K$5:$K$22,"平台差异可借鉴")</x:f>
        <x:v>9</x:v>
      </x:c>
    </x:row>
    <x:row r="16" ht="28" customHeight="1">
      <x:c r="A16" s="1997" t="str">
        <x:v>最终：不可用</x:v>
      </x:c>
      <x:c r="B16" s="188" t="n">
        <x:f>COUNTIF('优化点总表'!$K$5:$K$22,"不可用")</x:f>
        <x:v>0</x:v>
      </x:c>
    </x:row>
    <x:row r="17" ht="28" customHeight="1">
      <x:c r="A17" s="1998" t="str">
        <x:v>结论有差异</x:v>
      </x:c>
      <x:c r="B17" s="442" t="n">
        <x:f>COUNTIF('优化点总表'!$L$5:$L$22,"有差异")</x:f>
        <x:v>0</x:v>
      </x:c>
      <x:c r="C17" s="119"/>
      <x:c r="D17" s="119"/>
      <x:c r="E17" s="119"/>
      <x:c r="F17" s="119"/>
    </x:row>
    <x:row r="18" ht="28" customHeight="1">
      <x:c r="A18" s="1999" t="str">
        <x:v>结论无差异</x:v>
      </x:c>
      <x:c r="B18" s="552" t="n">
        <x:f>COUNTIF('优化点总表'!$L$5:$L$22,"无差异")</x:f>
        <x:v>18</x:v>
      </x:c>
      <x:c r="C18" s="467"/>
      <x:c r="D18" s="467"/>
      <x:c r="E18" s="467"/>
      <x:c r="F18" s="467"/>
    </x:row>
    <x:row r="19" ht="36" customHeight="1">
      <x:c r="A19" s="123" t="str">
        <x:f>"QC：总记录="&amp;B5&amp;"；V3 P0+P1+P2+P3+skip="&amp;(B6+B7+B8+B9+B10)&amp;"；五类结论合计="&amp;(B12+B13+B14+B15+B16)&amp;"；结论差异+无差异="&amp;(B17+B18)&amp;"。"</x:f>
        <x:v>QC：总记录=18；V3 P0+P1+P2+P3+skip=18；五类结论合计=18；结论差异+无差异=18。</x:v>
      </x:c>
      <x:c r="B19" s="123"/>
      <x:c r="C19" s="123"/>
      <x:c r="D19" s="123"/>
      <x:c r="E19" s="123"/>
      <x:c r="F19" s="123"/>
    </x:row>
  </x:sheetData>
  <x:mergeCells>
    <x:mergeCell ref="A1:F1"/>
    <x:mergeCell ref="A2:F2"/>
    <x:mergeCell ref="D4:F4"/>
    <x:mergeCell ref="D5:F12"/>
    <x:mergeCell ref="A19:F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4" hidden="0" customWidth="1"/>
    <x:col min="4" max="4" width="19" hidden="0" customWidth="1"/>
    <x:col min="5" max="5" width="18" hidden="0" customWidth="1"/>
    <x:col min="6" max="6" width="30" hidden="0" customWidth="1"/>
    <x:col min="7" max="7" width="18" hidden="0" customWidth="1"/>
    <x:col min="8" max="8" width="38" hidden="0" customWidth="1"/>
    <x:col min="9" max="9" width="26" hidden="0" customWidth="1"/>
    <x:col min="10" max="10" width="38" hidden="0" customWidth="1"/>
    <x:col min="11" max="11" width="15" hidden="0" customWidth="1"/>
    <x:col min="12" max="12" width="15" hidden="0" customWidth="1"/>
    <x:col min="13" max="13" width="15" hidden="0" customWidth="1"/>
    <x:col min="14" max="14" width="16" hidden="0" customWidth="1"/>
    <x:col min="15" max="15" width="40" hidden="0" customWidth="1"/>
    <x:col min="16" max="16" width="12" hidden="0" customWidth="1"/>
    <x:col min="17" max="17" width="10" hidden="0" customWidth="1"/>
    <x:col min="18" max="18" width="38" hidden="0" customWidth="1"/>
    <x:col min="19" max="19" width="15" hidden="0" customWidth="1"/>
    <x:col min="20" max="20" width="12" hidden="0" customWidth="1"/>
    <x:col min="21" max="21" width="25" hidden="0" customWidth="1"/>
  </x:cols>
  <x:sheetData>
    <x:row r="1" ht="34" customHeight="1">
      <x:c r="A1" s="1967" t="str">
        <x:v>vLLM 上游 Bugfix 管理表</x:v>
      </x:c>
      <x:c r="B1" s="1967"/>
      <x:c r="C1" s="1967"/>
      <x:c r="D1" s="1967"/>
      <x:c r="E1" s="1967"/>
      <x:c r="F1" s="1967"/>
      <x:c r="G1" s="1967"/>
      <x:c r="H1" s="1967"/>
      <x:c r="I1" s="1967"/>
      <x:c r="J1" s="1967"/>
      <x:c r="K1" s="1967"/>
      <x:c r="L1" s="1967"/>
      <x:c r="M1" s="1967"/>
      <x:c r="N1" s="1967"/>
      <x:c r="O1" s="1967"/>
      <x:c r="P1" s="1967"/>
      <x:c r="Q1" s="1967"/>
      <x:c r="R1" s="1967"/>
      <x:c r="S1" s="1967"/>
      <x:c r="T1" s="1967"/>
      <x:c r="U1" s="1967"/>
    </x:row>
    <x:row r="2" ht="50" customHeight="1">
      <x:c r="A2" s="1968" t="str">
        <x:v>统计周期起</x:v>
      </x:c>
      <x:c r="B2" s="1969" t="str">
        <x:v>2026-09-22 01:00:58.960</x:v>
      </x:c>
      <x:c r="C2" s="1968" t="str">
        <x:v>统计周期止（不含）</x:v>
      </x:c>
      <x:c r="D2" s="1969" t="str">
        <x:v>2026-09-23 01:01:54.707</x:v>
      </x:c>
      <x:c r="E2" s="1968" t="str">
        <x:v>时区</x:v>
      </x:c>
      <x:c r="F2" s="1970" t="str">
        <x:v>Asia/Hong_Kong</x:v>
      </x:c>
      <x:c r="G2" s="1968" t="str">
        <x:v>vLLM old SHA</x:v>
      </x:c>
      <x:c r="H2" s="1970" t="str">
        <x:v>986e217158a9ed54eca8307c6bb9abac7c5b2278</x:v>
      </x:c>
      <x:c r="I2" s="1968" t="str">
        <x:v>vLLM new SHA</x:v>
      </x:c>
      <x:c r="J2" s="1970" t="str">
        <x:v>74370a0e3044c16b6ba58f9c144b02ab733cd73a</x:v>
      </x:c>
      <x:c r="K2" s="1968" t="str">
        <x:v>Ascend基线</x:v>
      </x:c>
      <x:c r="L2" s="1970" t="str">
        <x:v>a71b766ce6fc0a9669a412e15a5cf53f7f827093</x:v>
      </x:c>
      <x:c r="M2" s="1968" t="str">
        <x:v>版本lane</x:v>
      </x:c>
      <x:c r="N2" s="1970" t="str">
        <x:v>main；anchor 84030bbe3d74d99bad477a3d2e37a973ccd8865c</x:v>
      </x:c>
      <x:c r="O2" s="1970"/>
      <x:c r="P2" s="1970"/>
      <x:c r="Q2" s="1970"/>
      <x:c r="R2" s="1970"/>
      <x:c r="S2" s="1970"/>
      <x:c r="T2" s="1970"/>
      <x:c r="U2" s="1970"/>
    </x:row>
    <x:row r="3" ht="42" customHeight="1">
      <x:c r="A3" s="1971" t="str">
        <x:v>统计口径：52个合入PR；本表纳入28条正确性、安全、兼容性及实际CI/测试缺陷。结论按来源可达、修复覆盖、Ascend等价处理矩阵生成。</x:v>
      </x:c>
      <x:c r="B3" s="1971"/>
      <x:c r="C3" s="1971"/>
      <x:c r="D3" s="1971"/>
      <x:c r="E3" s="1971"/>
      <x:c r="F3" s="1971"/>
      <x:c r="G3" s="1971"/>
      <x:c r="H3" s="1971"/>
      <x:c r="I3" s="1971"/>
      <x:c r="J3" s="1971"/>
      <x:c r="K3" s="1971"/>
      <x:c r="L3" s="1971"/>
      <x:c r="M3" s="1971"/>
      <x:c r="N3" s="1971"/>
      <x:c r="O3" s="1971"/>
      <x:c r="P3" s="1971"/>
      <x:c r="Q3" s="1971"/>
      <x:c r="R3" s="1971"/>
      <x:c r="S3" s="1971"/>
      <x:c r="T3" s="1971"/>
      <x:c r="U3" s="1971"/>
    </x:row>
    <x:row r="4">
      <x:c r="A4" s="189"/>
      <x:c r="B4" s="189"/>
      <x:c r="C4" s="189"/>
      <x:c r="D4" s="189"/>
      <x:c r="E4" s="189"/>
      <x:c r="F4" s="189"/>
      <x:c r="G4" s="189"/>
      <x:c r="H4" s="189"/>
      <x:c r="I4" s="189"/>
      <x:c r="J4" s="189"/>
      <x:c r="K4" s="189"/>
      <x:c r="L4" s="189"/>
      <x:c r="M4" s="189"/>
      <x:c r="N4" s="189"/>
      <x:c r="O4" s="189"/>
      <x:c r="P4" s="189"/>
      <x:c r="Q4" s="189"/>
      <x:c r="R4" s="189"/>
      <x:c r="S4" s="189"/>
      <x:c r="T4" s="189"/>
      <x:c r="U4" s="189"/>
    </x:row>
    <x:row r="5" ht="30" customHeight="1">
      <x:c r="A5" s="1972" t="str">
        <x:v>记录总数</x:v>
      </x:c>
      <x:c r="B5" s="1973" t="n">
        <x:f>COUNTA(A9:A36)</x:f>
        <x:v>28</x:v>
      </x:c>
      <x:c r="C5" s="1972" t="str">
        <x:v>需要适配</x:v>
      </x:c>
      <x:c r="D5" s="1973" t="n">
        <x:f>COUNTIF(N9:N36,"需要适配")</x:f>
        <x:v>2</x:v>
      </x:c>
      <x:c r="E5" s="1972" t="str">
        <x:v>待确认</x:v>
      </x:c>
      <x:c r="F5" s="1973" t="n">
        <x:f>COUNTIF(N9:N36,"待确认")</x:f>
        <x:v>1</x:v>
      </x:c>
      <x:c r="G5" s="1972" t="str">
        <x:v>直接继承修复</x:v>
      </x:c>
      <x:c r="H5" s="1973" t="n">
        <x:f>COUNTIF(N9:N36,"直接继承修复")</x:f>
        <x:v>10</x:v>
      </x:c>
      <x:c r="I5" s="1972" t="str">
        <x:v>不受影响</x:v>
      </x:c>
      <x:c r="J5" s="1973" t="n">
        <x:f>COUNTIF(N9:N36,"不受影响")</x:f>
        <x:v>15</x:v>
      </x:c>
      <x:c r="K5" s="1972" t="str">
        <x:v>判定闭环率</x:v>
      </x:c>
      <x:c r="L5" s="1974" t="n">
        <x:f>IF(B5=0,1,1-F5/B5)</x:f>
        <x:v>0.9642857142857143</x:v>
      </x:c>
      <x:c r="M5" s="189"/>
      <x:c r="N5" s="189"/>
      <x:c r="O5" s="189"/>
      <x:c r="P5" s="189"/>
      <x:c r="Q5" s="189"/>
      <x:c r="R5" s="189"/>
      <x:c r="S5" s="189"/>
      <x:c r="T5" s="189"/>
      <x:c r="U5" s="189"/>
    </x:row>
    <x:row r="6">
      <x:c r="A6" s="189"/>
      <x:c r="B6" s="189"/>
      <x:c r="C6" s="189"/>
      <x:c r="D6" s="189"/>
      <x:c r="E6" s="189"/>
      <x:c r="F6" s="189"/>
      <x:c r="G6" s="189"/>
      <x:c r="H6" s="189"/>
      <x:c r="I6" s="189"/>
      <x:c r="J6" s="189"/>
      <x:c r="K6" s="189"/>
      <x:c r="L6" s="189"/>
      <x:c r="M6" s="189"/>
      <x:c r="N6" s="189"/>
      <x:c r="O6" s="189"/>
      <x:c r="P6" s="189"/>
      <x:c r="Q6" s="189"/>
      <x:c r="R6" s="189"/>
      <x:c r="S6" s="189"/>
      <x:c r="T6" s="189"/>
      <x:c r="U6" s="189"/>
    </x:row>
    <x:row r="7" ht="48" customHeight="1">
      <x:c r="A7" s="1975" t="str">
        <x:v>判定矩阵：来源不可达或已有等价处理→不受影响；来源可达且共享修复进入→直接继承修复；来源可达、修复未进入且无等价处理→需要适配；任一关键项未知→待确认。继承指目标vLLM版本，不等于当前verified已升级。</x:v>
      </x:c>
      <x:c r="B7" s="1975"/>
      <x:c r="C7" s="1975"/>
      <x:c r="D7" s="1975"/>
      <x:c r="E7" s="1975"/>
      <x:c r="F7" s="1975"/>
      <x:c r="G7" s="1975"/>
      <x:c r="H7" s="1975"/>
      <x:c r="I7" s="1975"/>
      <x:c r="J7" s="1975"/>
      <x:c r="K7" s="1975"/>
      <x:c r="L7" s="1975"/>
      <x:c r="M7" s="1975"/>
      <x:c r="N7" s="1975"/>
      <x:c r="O7" s="1975"/>
      <x:c r="P7" s="1975"/>
      <x:c r="Q7" s="1975"/>
      <x:c r="R7" s="1975"/>
      <x:c r="S7" s="1975"/>
      <x:c r="T7" s="1975"/>
      <x:c r="U7" s="1975"/>
    </x:row>
    <x:row r="8" ht="50" customHeight="1">
      <x:c r="A8" s="1976" t="str">
        <x:v>记录ID</x:v>
      </x:c>
      <x:c r="B8" s="1976" t="str">
        <x:v>上游PR链接</x:v>
      </x:c>
      <x:c r="C8" s="1976" t="str">
        <x:v>PR标题</x:v>
      </x:c>
      <x:c r="D8" s="1976" t="str">
        <x:v>合入时间</x:v>
      </x:c>
      <x:c r="E8" s="1976" t="str">
        <x:v>Merge SHA</x:v>
      </x:c>
      <x:c r="F8" s="1976" t="str">
        <x:v>Bugfix简介</x:v>
      </x:c>
      <x:c r="G8" s="1976" t="str">
        <x:v>Bug分类</x:v>
      </x:c>
      <x:c r="H8" s="1976" t="str">
        <x:v>上游修复点（文件/问题/修复语义）</x:v>
      </x:c>
      <x:c r="I8" s="1976" t="str">
        <x:v>影响场景</x:v>
      </x:c>
      <x:c r="J8" s="1976" t="str">
        <x:v>Ascend有效实现/关系</x:v>
      </x:c>
      <x:c r="K8" s="1976" t="str">
        <x:v>Bug来源在Ascend可达</x:v>
      </x:c>
      <x:c r="L8" s="1976" t="str">
        <x:v>上游修复进入Ascend</x:v>
      </x:c>
      <x:c r="M8" s="1976" t="str">
        <x:v>Ascend等价处理</x:v>
      </x:c>
      <x:c r="N8" s="1976" t="str">
        <x:v>Ascend结论</x:v>
      </x:c>
      <x:c r="O8" s="1976" t="str">
        <x:v>因果判断依据</x:v>
      </x:c>
      <x:c r="P8" s="1976" t="str">
        <x:v>建议动作</x:v>
      </x:c>
      <x:c r="Q8" s="1976" t="str">
        <x:v>优先级</x:v>
      </x:c>
      <x:c r="R8" s="1976" t="str">
        <x:v>验证建议</x:v>
      </x:c>
      <x:c r="S8" s="1976" t="str">
        <x:v>状态</x:v>
      </x:c>
      <x:c r="T8" s="1976" t="str">
        <x:v>第一责任人</x:v>
      </x:c>
      <x:c r="U8" s="1976" t="str">
        <x:v>备注</x:v>
      </x:c>
    </x:row>
    <x:row r="9" ht="93" customHeight="1">
      <x:c r="A9" s="1977" t="str">
        <x:v>BUG-55390</x:v>
      </x:c>
      <x:c r="B9" s="1977" t="str">
        <x:v>https://github.com/vllm-project/vllm/pull/55390</x:v>
      </x:c>
      <x:c r="C9" s="1977" t="str">
        <x:v>[Bugfix] Annotate MTP draft KV cache groups positionally on the hybrid grouping path</x:v>
      </x:c>
      <x:c r="D9" s="1978" t="n">
        <x:v>46287.355162037034</x:v>
      </x:c>
      <x:c r="E9" s="1977" t="str">
        <x:v>0bce411a073e0da2c9bded9bb6ced1cbee51c564</x:v>
      </x:c>
      <x:c r="F9" s="1977" t="str">
        <x:v>混合Attention/Mamba MTP通用分组漏标draft，外部卸载未保护易变尾块。</x:v>
      </x:c>
      <x:c r="G9" s="1977" t="str">
        <x:v>MTP KV分组注解</x:v>
      </x:c>
      <x:c r="H9" s="1977" t="str">
        <x:v>修改 vllm/v1/core/kv_cache_utils.py; tests/v1/core/test_kv_cache_utils.py；packed和general路径采用末层定位并检查分组恰好覆盖所有层，替换注解函数关键字。</x:v>
      </x:c>
      <x:c r="I9" s="1977" t="str">
        <x:v>MTP KV分组注解对应的实际功能配置。</x:v>
      </x:c>
      <x:c r="J9" s="1977" t="str">
        <x:v>patch_kv_cache_utils.py:_ascend_get_packed_kv_cache_groups仍以use_deepseek_v4_fallback=True调用共享_annotate_eagle_groups；目标上游已改名为use_trailing_layer_fallback，packed NPU分组会触发意外关键字TypeError。通用分组经原函数可继承，但不可覆盖此断点。</x:v>
      </x:c>
      <x:c r="K9" s="1979" t="str">
        <x:v>是</x:v>
      </x:c>
      <x:c r="L9" s="1979" t="str">
        <x:v>否</x:v>
      </x:c>
      <x:c r="M9" s="1979" t="str">
        <x:v>否</x:v>
      </x:c>
      <x:c r="N9" s="1979" t="str">
        <x:v>需要适配</x:v>
      </x:c>
      <x:c r="O9" s="1977" t="str">
        <x:v>patch_kv_cache_utils.py:_ascend_get_packed_kv_cache_groups仍以use_deepseek_v4_fallback=True调用共享_annotate_eagle_groups；目标上游已改名为use_trailing_layer_fallback，packed NPU分组会触发意外关键字TypeError。通用分组经原函数可继承，但不可覆盖此断点。</x:v>
      </x:c>
      <x:c r="P9" s="1979" t="str">
        <x:v>modify</x:v>
      </x:c>
      <x:c r="Q9" s="1979" t="str">
        <x:v>P1</x:v>
      </x:c>
      <x:c r="R9" s="1977" t="str">
        <x:v>同步关键字并按_uses_trailing_mtp_layers及精确partition约束确定值，覆盖DSV4/4.1 DSpark、Qwen hybrid MTP、目标/draft共享组、多组draft及offload尾块。</x:v>
      </x:c>
      <x:c r="S9" s="1979" t="str">
        <x:v>待适配</x:v>
      </x:c>
      <x:c r="T9" s="1979" t="str">
        <x:v>曾彦嘉</x:v>
      </x:c>
      <x:c r="U9" s="1977" t="str">
        <x:v>分支=main；GraphQL mergedAt=2026-09-22T00:31:26Z；head=ccda95b776a8221887808c61c476c3d6b25e6bfe；files=2</x:v>
      </x:c>
    </x:row>
    <x:row r="10" ht="93" customHeight="1">
      <x:c r="A10" s="1980" t="str">
        <x:v>BUG-57891</x:v>
      </x:c>
      <x:c r="B10" s="1980" t="str">
        <x:v>https://github.com/vllm-project/vllm/pull/57891</x:v>
      </x:c>
      <x:c r="C10" s="1980" t="str">
        <x:v>[RL][Sleep] Retain frozen weights across level-2 sleep</x:v>
      </x:c>
      <x:c r="D10" s="1981" t="n">
        <x:v>46287.52564814815</x:v>
      </x:c>
      <x:c r="E10" s="1980" t="str">
        <x:v>639461eda424debe7bbdf2b1fc577bf83e29c643</x:v>
      </x:c>
      <x:c r="F10" s="1980" t="str">
        <x:v>level2 sleep丢弃训练端不再发送的冻结权重，唤醒后失效。</x:v>
      </x:c>
      <x:c r="G10" s="1980" t="str">
        <x:v>RL冻结参数睡眠</x:v>
      </x:c>
      <x:c r="H10" s="1980" t="str">
        <x:v>修改 vllm/config/model.py; vllm/engine/arg_utils.py; vllm/v1/worker/gpu_worker.py; docs/features/sleep_mode.md; tests/v1/worker/test_sleep_mode_backend.py；新增参数名glob，sleep备份选定设备参数到CPU，weights wake原位恢复并清理备份。</x:v>
      </x:c>
      <x:c r="I10" s="1980" t="str">
        <x:v>RL冻结参数睡眠对应的实际功能配置。</x:v>
      </x:c>
      <x:c r="J10" s="1980" t="str">
        <x:v>Ascend worker.py自有sleep/wake_up，仅备份named_buffers，CaMemAllocator level2丢弃weights；未读取新sleep_preserve_parameter_names，也无named_parameters备份。trainer省略冻结参数时缺口确定。</x:v>
      </x:c>
      <x:c r="K10" s="1982" t="str">
        <x:v>是</x:v>
      </x:c>
      <x:c r="L10" s="1982" t="str">
        <x:v>否</x:v>
      </x:c>
      <x:c r="M10" s="1982" t="str">
        <x:v>否</x:v>
      </x:c>
      <x:c r="N10" s="1982" t="str">
        <x:v>需要适配</x:v>
      </x:c>
      <x:c r="O10" s="1980" t="str">
        <x:v>Ascend worker.py自有sleep/wake_up，仅备份named_buffers，CaMemAllocator level2丢弃weights；未读取新sleep_preserve_parameter_names，也无named_parameters备份。trainer省略冻结参数时缺口确定。</x:v>
      </x:c>
      <x:c r="P10" s="1982" t="str">
        <x:v>modify</x:v>
      </x:c>
      <x:c r="Q10" s="1982" t="str">
        <x:v>P1</x:v>
      </x:c>
      <x:c r="R10" s="1980" t="str">
        <x:v>在NPU sleep前按glob备份选中参数、weights wake原位恢复并释放；验证未匹配报错、CPU权重、三轮sleep、图地址稳定及host容量，trainer必须不覆盖保留权重。</x:v>
      </x:c>
      <x:c r="S10" s="1982" t="str">
        <x:v>待适配</x:v>
      </x:c>
      <x:c r="T10" s="1982" t="str">
        <x:v>刘荣</x:v>
      </x:c>
      <x:c r="U10" s="1980" t="str">
        <x:v>分支=main；GraphQL mergedAt=2026-09-22T04:36:56Z；head=943a2410a9c44438f8ce9341c9425b5cf7b2af47；files=5</x:v>
      </x:c>
    </x:row>
    <x:row r="11" ht="79.5" customHeight="1">
      <x:c r="A11" s="1977" t="str">
        <x:v>BUG-57731</x:v>
      </x:c>
      <x:c r="B11" s="1977" t="str">
        <x:v>https://github.com/vllm-project/vllm/pull/57731</x:v>
      </x:c>
      <x:c r="C11" s="1977" t="str">
        <x:v>[Security] Reject min_tokens that exceeds the filled max_tokens default</x:v>
      </x:c>
      <x:c r="D11" s="1978" t="n">
        <x:v>46287.57666666667</x:v>
      </x:c>
      <x:c r="E11" s="1977" t="str">
        <x:v>4800024b98f70c9b3022c27b41e63a5dc9556ed7</x:v>
      </x:c>
      <x:c r="F11" s="1977" t="str">
        <x:v>max_tokens为null时过大的min_tokens绕过校验，EngineCore重建参数后线程异常。</x:v>
      </x:c>
      <x:c r="G11" s="1977" t="str">
        <x:v>请求参数准入安全</x:v>
      </x:c>
      <x:c r="H11" s="1977" t="str">
        <x:v>修改 vllm/v1/engine/input_processor.py; tests/entrypoints/scale_out/token_in_token_out/test_serving_tokens.py; tests/test_request_input_bounds.py；InputProcessor填充max_tokens后再次检查min_tokens上界。</x:v>
      </x:c>
      <x:c r="I11" s="1977" t="str">
        <x:v>请求参数准入安全对应的实际功能配置。</x:v>
      </x:c>
      <x:c r="J11" s="1977" t="str">
        <x:v>NPU未替换vllm.v1.engine.input_processor.InputProcessor；共享前端填充max_tokens后的边界检查进入NPU请求准入。</x:v>
      </x:c>
      <x:c r="K11" s="1979" t="str">
        <x:v>是</x:v>
      </x:c>
      <x:c r="L11" s="1979" t="str">
        <x:v>是</x:v>
      </x:c>
      <x:c r="M11" s="1979" t="str">
        <x:v>不适用</x:v>
      </x:c>
      <x:c r="N11" s="1979" t="str">
        <x:v>直接继承修复</x:v>
      </x:c>
      <x:c r="O11" s="1977" t="str">
        <x:v>NPU未替换vllm.v1.engine.input_processor.InputProcessor；共享前端填充max_tokens后的边界检查进入NPU请求准入。</x:v>
      </x:c>
      <x:c r="P11" s="1979" t="str">
        <x:v>review</x:v>
      </x:c>
      <x:c r="Q11" s="1979" t="str">
        <x:v>P1</x:v>
      </x:c>
      <x:c r="R11" s="1977" t="str">
        <x:v>max_tokens=null且min_tokens越界返回客户端错误，再发正常请求确认engine存活；覆盖离线和HTTP。</x:v>
      </x:c>
      <x:c r="S11" s="1979" t="str">
        <x:v>待最小回归</x:v>
      </x:c>
      <x:c r="T11" s="1979" t="str">
        <x:v>刘逸舟</x:v>
      </x:c>
      <x:c r="U11" s="1977" t="str">
        <x:v>分支=main；GraphQL mergedAt=2026-09-22T05:50:24Z；head=da557b04521644b46166a4eb284bd38dd63d5c6b；files=3</x:v>
      </x:c>
    </x:row>
    <x:row r="12" ht="70" customHeight="1">
      <x:c r="A12" s="1980" t="str">
        <x:v>BUG-57737</x:v>
      </x:c>
      <x:c r="B12" s="1980" t="str">
        <x:v>https://github.com/vllm-project/vllm/pull/57737</x:v>
      </x:c>
      <x:c r="C12" s="1980" t="str">
        <x:v>[Pooling] MRV2 pooling shutdown model ref</x:v>
      </x:c>
      <x:c r="D12" s="1981" t="n">
        <x:v>46287.32983796296</x:v>
      </x:c>
      <x:c r="E12" s="1980" t="str">
        <x:v>7d06dd1ffaab13bb6b9a34e86a8a62e4d715bd1e</x:v>
      </x:c>
      <x:c r="F12" s="1980" t="str">
        <x:v>MRV2 shutdown后PoolingRunner仍引用模型，设备内存未释放。</x:v>
      </x:c>
      <x:c r="G12" s="1980" t="str">
        <x:v>MRV2 pooling引用释放</x:v>
      </x:c>
      <x:c r="H12" s="1980" t="str">
        <x:v>修改 vllm/v1/worker/gpu/model_runner.py；GPUModelRunner.shutdown清空pooling_runner。</x:v>
      </x:c>
      <x:c r="I12" s="1980" t="str">
        <x:v>MRV2 pooling引用释放对应的实际功能配置。</x:v>
      </x:c>
      <x:c r="J12" s="1980" t="str">
        <x:v>worker/v2/model_runner.py的NPUModelRunner继承GPUModelRunner，未重写shutdown；worker.shutdown调用runner关闭，清空共享pooling_runner进入。</x:v>
      </x:c>
      <x:c r="K12" s="1982" t="str">
        <x:v>是</x:v>
      </x:c>
      <x:c r="L12" s="1982" t="str">
        <x:v>是</x:v>
      </x:c>
      <x:c r="M12" s="1982" t="str">
        <x:v>不适用</x:v>
      </x:c>
      <x:c r="N12" s="1982" t="str">
        <x:v>直接继承修复</x:v>
      </x:c>
      <x:c r="O12" s="1980" t="str">
        <x:v>worker/v2/model_runner.py的NPUModelRunner继承GPUModelRunner，未重写shutdown；worker.shutdown调用runner关闭，清空共享pooling_runner进入。</x:v>
      </x:c>
      <x:c r="P12" s="1982" t="str">
        <x:v>review</x:v>
      </x:c>
      <x:c r="Q12" s="1982" t="str">
        <x:v>P2</x:v>
      </x:c>
      <x:c r="R12" s="1980" t="str">
        <x:v>保留LLM/worker对象，调用shutdown后查模型weakref与torch.npu.memory_allocated；embedding输出和多次关闭回归。</x:v>
      </x:c>
      <x:c r="S12" s="1982" t="str">
        <x:v>待最小回归</x:v>
      </x:c>
      <x:c r="T12" s="1982" t="str">
        <x:v>郭小辉</x:v>
      </x:c>
      <x:c r="U12" s="1980" t="str">
        <x:v>分支=main；GraphQL mergedAt=2026-09-21T23:54:58Z；head=b2d293f9955dadb9f11d95b190c44aa4a4ad850e；files=1</x:v>
      </x:c>
    </x:row>
    <x:row r="13" ht="93" customHeight="1">
      <x:c r="A13" s="1977" t="str">
        <x:v>BUG-56448</x:v>
      </x:c>
      <x:c r="B13" s="1977" t="str">
        <x:v>https://github.com/vllm-project/vllm/pull/56448</x:v>
      </x:c>
      <x:c r="C13" s="1977" t="str">
        <x:v>[Bugfix][Spec Decode] Cap DFlash/DSpark profiling query batch</x:v>
      </x:c>
      <x:c r="D13" s="1978" t="n">
        <x:v>46287.52537037037</x:v>
      </x:c>
      <x:c r="E13" s="1977" t="str">
        <x:v>c4d424c2e27b392da235704ba0edca7ac48bd495</x:v>
      </x:c>
      <x:c r="F13" s="1977" t="str">
        <x:v>DFlash/DSpark profiling按max_num_seqs造批，query行数可超buffer。</x:v>
      </x:c>
      <x:c r="G13" s="1977" t="str">
        <x:v>DSpark/DFlash profiling越界</x:v>
      </x:c>
      <x:c r="H13" s="1977" t="str">
        <x:v>修改 vllm/v1/worker/gpu/model_runner.py; vllm/v1/worker/gpu/spec_decode/speculator.py; tests/v1/spec_decode/test_dflash_profile.py；MRV2初始dummy请求数按max_num_tokens/num_query_per_req截断，speculator提供默认宽度。</x:v>
      </x:c>
      <x:c r="I13" s="1977" t="str">
        <x:v>DSpark/DFlash profiling越界对应的实际功能配置。</x:v>
      </x:c>
      <x:c r="J13" s="1977" t="str">
        <x:v>NPUModelRunner.profile_run与_dummy_run均调用super，MRV2 request上限修复进入；NPU DSpark/DFlash子类保留num_query_per_req。最终merge仅初始dummy cap，不能宣称所有autotune/profile路径全覆盖。</x:v>
      </x:c>
      <x:c r="K13" s="1979" t="str">
        <x:v>是</x:v>
      </x:c>
      <x:c r="L13" s="1979" t="str">
        <x:v>是</x:v>
      </x:c>
      <x:c r="M13" s="1979" t="str">
        <x:v>不适用</x:v>
      </x:c>
      <x:c r="N13" s="1979" t="str">
        <x:v>直接继承修复</x:v>
      </x:c>
      <x:c r="O13" s="1977" t="str">
        <x:v>NPUModelRunner.profile_run与_dummy_run均调用super，MRV2 request上限修复进入；NPU DSpark/DFlash子类保留num_query_per_req。最终merge仅初始dummy cap，不能宣称所有autotune/profile路径全覆盖。</x:v>
      </x:c>
      <x:c r="P13" s="1979" t="str">
        <x:v>review</x:v>
      </x:c>
      <x:c r="Q13" s="1979" t="str">
        <x:v>P2</x:v>
      </x:c>
      <x:c r="R13" s="1977" t="str">
        <x:v>max_num_seqs512/max_num_batched_tokens2048/K5及DFlash2 K7/512token启动；检查MC2额外dummy、ACLgraph padding与真实请求边界。</x:v>
      </x:c>
      <x:c r="S13" s="1979" t="str">
        <x:v>待最小回归</x:v>
      </x:c>
      <x:c r="T13" s="1979" t="str">
        <x:v>李泽桐</x:v>
      </x:c>
      <x:c r="U13" s="1977" t="str">
        <x:v>分支=main；GraphQL mergedAt=2026-09-22T04:36:32Z；head=b054cb5386bddf3c31ce883ded7b3b5979ae5d96；files=3</x:v>
      </x:c>
    </x:row>
    <x:row r="14" ht="70" customHeight="1">
      <x:c r="A14" s="1980" t="str">
        <x:v>BUG-57006</x:v>
      </x:c>
      <x:c r="B14" s="1980" t="str">
        <x:v>https://github.com/vllm-project/vllm/pull/57006</x:v>
      </x:c>
      <x:c r="C14" s="1980" t="str">
        <x:v>[Bugfix][Frontend] Validate mixed prompt embedding mask lengths</x:v>
      </x:c>
      <x:c r="D14" s="1981" t="n">
        <x:v>46287.57674768518</x:v>
      </x:c>
      <x:c r="E14" s="1980" t="str">
        <x:v>5abf85d27ace7998a86b27d2754de239c73d0723</x:v>
      </x:c>
      <x:c r="F14" s="1980" t="str">
        <x:v>混合embedding mask长度错位可广播错误甚至静默错配。</x:v>
      </x:c>
      <x:c r="G14" s="1980" t="str">
        <x:v>混合embedding mask</x:v>
      </x:c>
      <x:c r="H14" s="1980" t="str">
        <x:v>修改 vllm/v1/engine/input_processor.py; tests/test_request_input_bounds.py；InputProcessor验证mask长度等于embedding行数并返回参数错误。</x:v>
      </x:c>
      <x:c r="I14" s="1980" t="str">
        <x:v>混合embedding mask对应的实际功能配置。</x:v>
      </x:c>
      <x:c r="J14" s="1980" t="str">
        <x:v>NPU前端使用共享InputProcessor，未覆盖新增mask长度校验；在NPU runner接收前拒绝不等长mask。</x:v>
      </x:c>
      <x:c r="K14" s="1982" t="str">
        <x:v>是</x:v>
      </x:c>
      <x:c r="L14" s="1982" t="str">
        <x:v>是</x:v>
      </x:c>
      <x:c r="M14" s="1982" t="str">
        <x:v>不适用</x:v>
      </x:c>
      <x:c r="N14" s="1982" t="str">
        <x:v>直接继承修复</x:v>
      </x:c>
      <x:c r="O14" s="1980" t="str">
        <x:v>NPU前端使用共享InputProcessor，未覆盖新增mask长度校验；在NPU runner接收前拒绝不等长mask。</x:v>
      </x:c>
      <x:c r="P14" s="1982" t="str">
        <x:v>review</x:v>
      </x:c>
      <x:c r="Q14" s="1982" t="str">
        <x:v>P2</x:v>
      </x:c>
      <x:c r="R14" s="1980" t="str">
        <x:v>embedding3行配mask长度0/1/2/4拒绝，3合法；纯embedding、带token混合及拒绝后的正常请求回归。</x:v>
      </x:c>
      <x:c r="S14" s="1982" t="str">
        <x:v>待最小回归</x:v>
      </x:c>
      <x:c r="T14" s="1982" t="str">
        <x:v>刘逸舟</x:v>
      </x:c>
      <x:c r="U14" s="1980" t="str">
        <x:v>分支=main；GraphQL mergedAt=2026-09-22T05:50:31Z；head=651eb1d65600d7be49095bc91cca9f36926a6fe2；files=2</x:v>
      </x:c>
    </x:row>
    <x:row r="15" ht="147" customHeight="1">
      <x:c r="A15" s="1977" t="str">
        <x:v>BUG-47736</x:v>
      </x:c>
      <x:c r="B15" s="1977" t="str">
        <x:v>https://github.com/vllm-project/vllm/pull/47736</x:v>
      </x:c>
      <x:c r="C15" s="1977" t="str">
        <x:v>[Bugfix][Qwen2.5-VL] Honor video fps for temporal M-RoPE</x:v>
      </x:c>
      <x:c r="D15" s="1978" t="n">
        <x:v>46287.58070601852</x:v>
      </x:c>
      <x:c r="E15" s="1977" t="str">
        <x:v>a33b3bac5dad5654065adbdadc87f35118e482e3</x:v>
      </x:c>
      <x:c r="F15" s="1977" t="str">
        <x:v>Qwen2.5VL视频元数据被丢弃，fps不同仍产生相同时间MRoPE。</x:v>
      </x:c>
      <x:c r="G15" s="1977" t="str">
        <x:v>Qwen2.5VL视频MRoPE</x:v>
      </x:c>
      <x:c r="H15" s="1977" t="str">
        <x:v>修改 vllm/model_executor/models/qwen2_5_vl.py; examples/generate/multimodal/vision_language_offline.py; tests/models/multimodal/generation/test_common.py; tests/models/multimodal/generation/test_qwen2_5_vl.py; tests/models/multimodal/generation/test_vit_cudagraph.py; tests/models/multimodal/processing/test_qwen2_vl.py；保留视频metadata并传HF processor，dummy video也附合成metadata。</x:v>
      </x:c>
      <x:c r="I15" s="1977" t="str">
        <x:v>Qwen2.5VL视频MRoPE对应的实际功能配置。</x:v>
      </x:c>
      <x:c r="J15" s="1977" t="str">
        <x:v>Ascend采用共享Qwen2.5VL多模态processor，NPU模型算子/ViT patch未替换视频parser和HF metadata传递；时间尺度修复进入。</x:v>
      </x:c>
      <x:c r="K15" s="1979" t="str">
        <x:v>是</x:v>
      </x:c>
      <x:c r="L15" s="1979" t="str">
        <x:v>是</x:v>
      </x:c>
      <x:c r="M15" s="1979" t="str">
        <x:v>不适用</x:v>
      </x:c>
      <x:c r="N15" s="1979" t="str">
        <x:v>直接继承修复</x:v>
      </x:c>
      <x:c r="O15" s="1977" t="str">
        <x:v>Ascend采用共享Qwen2.5VL多模态processor，NPU模型算子/ViT patch未替换视频parser和HF metadata传递；时间尺度修复进入。</x:v>
      </x:c>
      <x:c r="P15" s="1979" t="str">
        <x:v>review</x:v>
      </x:c>
      <x:c r="Q15" s="1979" t="str">
        <x:v>P2</x:v>
      </x:c>
      <x:c r="R15" s="1977" t="str">
        <x:v>同视频fps1/30检查second_per_grid_ts和MRoPE，裸数组无metadata应报错；视频dummy与图捕获回归。</x:v>
      </x:c>
      <x:c r="S15" s="1979" t="str">
        <x:v>待最小回归</x:v>
      </x:c>
      <x:c r="T15" s="1979" t="str">
        <x:v>龙钢</x:v>
      </x:c>
      <x:c r="U15" s="1977" t="str">
        <x:v>分支=main；GraphQL mergedAt=2026-09-22T05:56:13Z；head=636f0754400661bcc445d64767b3b0108d140cea；files=7</x:v>
      </x:c>
    </x:row>
    <x:row r="16" ht="79.5" customHeight="1">
      <x:c r="A16" s="1980" t="str">
        <x:v>BUG-55931</x:v>
      </x:c>
      <x:c r="B16" s="1980" t="str">
        <x:v>https://github.com/vllm-project/vllm/pull/55931</x:v>
      </x:c>
      <x:c r="C16" s="1980" t="str">
        <x:v>[BugFix][Core] Make the structured-output grammar poll non-blocking</x:v>
      </x:c>
      <x:c r="D16" s="1981" t="n">
        <x:v>46287.81929398148</x:v>
      </x:c>
      <x:c r="E16" s="1980" t="str">
        <x:v>9815732c16ca076c60b65fccd787167d6a9c5328</x:v>
      </x:c>
      <x:c r="F16" s="1980" t="str">
        <x:v>结构化grammar轮询每future等待100微秒，编译自身TimeoutError被误判为未完成。</x:v>
      </x:c>
      <x:c r="G16" s="1980" t="str">
        <x:v>结构化grammar阻塞轮询</x:v>
      </x:c>
      <x:c r="H16" s="1980" t="str">
        <x:v>修改 vllm/v1/structured_output/request.py; tests/v1/structured_output/test_request.py；先done非阻塞检查，再result读取真实异常并存失败标志。</x:v>
      </x:c>
      <x:c r="I16" s="1980" t="str">
        <x:v>结构化grammar阻塞轮询对应的实际功能配置。</x:v>
      </x:c>
      <x:c r="J16" s="1980" t="str">
        <x:v>Ascend patch_structured_output包装SamplingParams与StructuredOutputManager，未覆盖StructuredOutputRequest._check_grammar_completion；共享done/result逻辑进入所有相关scheduler。</x:v>
      </x:c>
      <x:c r="K16" s="1982" t="str">
        <x:v>是</x:v>
      </x:c>
      <x:c r="L16" s="1982" t="str">
        <x:v>是</x:v>
      </x:c>
      <x:c r="M16" s="1982" t="str">
        <x:v>不适用</x:v>
      </x:c>
      <x:c r="N16" s="1982" t="str">
        <x:v>直接继承修复</x:v>
      </x:c>
      <x:c r="O16" s="1980" t="str">
        <x:v>Ascend patch_structured_output包装SamplingParams与StructuredOutputManager，未覆盖StructuredOutputRequest._check_grammar_completion；共享done/result逻辑进入所有相关scheduler。</x:v>
      </x:c>
      <x:c r="P16" s="1982" t="str">
        <x:v>review</x:v>
      </x:c>
      <x:c r="Q16" s="1982" t="str">
        <x:v>P2</x:v>
      </x:c>
      <x:c r="R16" s="1980" t="str">
        <x:v>未完成Future不阻塞；已完成且抛TimeoutError应结束为失败，不能永久等待。积压数递增测schedule时长和请求隔离。</x:v>
      </x:c>
      <x:c r="S16" s="1982" t="str">
        <x:v>待最小回归</x:v>
      </x:c>
      <x:c r="T16" s="1982" t="str">
        <x:v>温劲</x:v>
      </x:c>
      <x:c r="U16" s="1980" t="str">
        <x:v>分支=main；GraphQL mergedAt=2026-09-22T11:39:47Z；head=a59172f71f3206cd74499dd0257392289ec7139a；files=2</x:v>
      </x:c>
    </x:row>
    <x:row r="17" ht="70" customHeight="1">
      <x:c r="A17" s="1977" t="str">
        <x:v>BUG-47450</x:v>
      </x:c>
      <x:c r="B17" s="1977" t="str">
        <x:v>https://github.com/vllm-project/vllm/pull/47450</x:v>
      </x:c>
      <x:c r="C17" s="1977" t="str">
        <x:v>[Bugfix][Structured Outputs] Reject empty `structural_tag` at request validation</x:v>
      </x:c>
      <x:c r="D17" s="1978" t="n">
        <x:v>46287.88171296296</x:v>
      </x:c>
      <x:c r="E17" s="1977" t="str">
        <x:v>e548298f8144cae77d26949078c264d819d3993c</x:v>
      </x:c>
      <x:c r="F17" s="1977" t="str">
        <x:v>空structural_tag进入grammar编译后返回500而非准入400。</x:v>
      </x:c>
      <x:c r="G17" s="1977" t="str">
        <x:v>空结构化tag校验</x:v>
      </x:c>
      <x:c r="H17" s="1977" t="str">
        <x:v>修改 vllm/sampling_params.py; tests/v1/structured_output/test_validation.py；SamplingParams加入空字符串校验并扩展回归。</x:v>
      </x:c>
      <x:c r="I17" s="1977" t="str">
        <x:v>空结构化tag校验对应的实际功能配置。</x:v>
      </x:c>
      <x:c r="J17" s="1977" t="str">
        <x:v>patch_structured_output._validate_structured_outputs首先调用original_validate，新增空structural_tag检查仍有效。PR另有Ascend实测描述，但不是本次pinned baseline实测。</x:v>
      </x:c>
      <x:c r="K17" s="1979" t="str">
        <x:v>是</x:v>
      </x:c>
      <x:c r="L17" s="1979" t="str">
        <x:v>是</x:v>
      </x:c>
      <x:c r="M17" s="1979" t="str">
        <x:v>不适用</x:v>
      </x:c>
      <x:c r="N17" s="1979" t="str">
        <x:v>直接继承修复</x:v>
      </x:c>
      <x:c r="O17" s="1977" t="str">
        <x:v>patch_structured_output._validate_structured_outputs首先调用original_validate，新增空structural_tag检查仍有效。PR另有Ascend实测描述，但不是本次pinned baseline实测。</x:v>
      </x:c>
      <x:c r="P17" s="1979" t="str">
        <x:v>review</x:v>
      </x:c>
      <x:c r="Q17" s="1979" t="str">
        <x:v>P2</x:v>
      </x:c>
      <x:c r="R17" s="1977" t="str">
        <x:v>空structural_tag返回400，正常json_object返回200，合法空regex不误拒绝；引擎后续请求正常。</x:v>
      </x:c>
      <x:c r="S17" s="1979" t="str">
        <x:v>待最小回归</x:v>
      </x:c>
      <x:c r="T17" s="1979" t="str">
        <x:v>温劲</x:v>
      </x:c>
      <x:c r="U17" s="1977" t="str">
        <x:v>分支=main；GraphQL mergedAt=2026-09-22T13:09:40Z；head=4d7a2c39731c607004d54160eb8eef698e562f19；files=2</x:v>
      </x:c>
    </x:row>
    <x:row r="18" ht="79.5" customHeight="1">
      <x:c r="A18" s="1980" t="str">
        <x:v>BUG-56250</x:v>
      </x:c>
      <x:c r="B18" s="1980" t="str">
        <x:v>https://github.com/vllm-project/vllm/pull/56250</x:v>
      </x:c>
      <x:c r="C18" s="1980" t="str">
        <x:v>[Bugfix][Structured Output] Disallow MRV1 + PP&gt;1 + async sched + structured output</x:v>
      </x:c>
      <x:c r="D18" s="1981" t="n">
        <x:v>46287.91673611111</x:v>
      </x:c>
      <x:c r="E18" s="1980" t="str">
        <x:v>1ea7c63f4af7bb4fd6f025c8db44434ab274cb51</x:v>
      </x:c>
      <x:c r="F18" s="1980" t="str">
        <x:v>MRV1 PP&gt;1异步结构化输出FSM未等前步完成而失败。</x:v>
      </x:c>
      <x:c r="G18" s="1980" t="str">
        <x:v>MRV1 PP异步配置</x:v>
      </x:c>
      <x:c r="H18" s="1980" t="str">
        <x:v>修改 vllm/config/vllm.py; tests/test_config.py；自动异步时关闭不支持组合，显式启用则加入V1 unsupported列表。</x:v>
      </x:c>
      <x:c r="I18" s="1980" t="str">
        <x:v>MRV1 PP异步配置对应的实际功能配置。</x:v>
      </x:c>
      <x:c r="J18" s="1980" t="str">
        <x:v>Ascend patch_use_v2_model_runner的V1 unsupported wrapper调用原函数，只移除dspark和dflash2条目，不移除pipeline parallelism with async scheduling；新拒绝生效，自动异步关闭也在共享配置。</x:v>
      </x:c>
      <x:c r="K18" s="1982" t="str">
        <x:v>是</x:v>
      </x:c>
      <x:c r="L18" s="1982" t="str">
        <x:v>是</x:v>
      </x:c>
      <x:c r="M18" s="1982" t="str">
        <x:v>不适用</x:v>
      </x:c>
      <x:c r="N18" s="1982" t="str">
        <x:v>直接继承修复</x:v>
      </x:c>
      <x:c r="O18" s="1980" t="str">
        <x:v>Ascend patch_use_v2_model_runner的V1 unsupported wrapper调用原函数，只移除dspark和dflash2条目，不移除pipeline parallelism with async scheduling；新拒绝生效，自动异步关闭也在共享配置。</x:v>
      </x:c>
      <x:c r="P18" s="1982" t="str">
        <x:v>review</x:v>
      </x:c>
      <x:c r="Q18" s="1982" t="str">
        <x:v>P2</x:v>
      </x:c>
      <x:c r="R18" s="1980" t="str">
        <x:v>NPU默认V1的PP&gt;1自动async关闭，显式async应拒绝；PP1/MRV2组合单独回归，不能把PR正文过时的禁所有PP解释为最终行为。</x:v>
      </x:c>
      <x:c r="S18" s="1982" t="str">
        <x:v>待最小回归</x:v>
      </x:c>
      <x:c r="T18" s="1982" t="str">
        <x:v>田馥玮</x:v>
      </x:c>
      <x:c r="U18" s="1980" t="str">
        <x:v>分支=main；GraphQL mergedAt=2026-09-22T14:00:06Z；head=ee97622226f7ecbb36c6d7e9808dbe88c554f766；files=2</x:v>
      </x:c>
    </x:row>
    <x:row r="19" ht="70" customHeight="1">
      <x:c r="A19" s="1977" t="str">
        <x:v>BUG-58150</x:v>
      </x:c>
      <x:c r="B19" s="1977" t="str">
        <x:v>https://github.com/vllm-project/vllm/pull/58150</x:v>
      </x:c>
      <x:c r="C19" s="1977" t="str">
        <x:v>[Bugfix] Narrow AuxOutput KV restrictions to known PD connectors</x:v>
      </x:c>
      <x:c r="D19" s="1978" t="n">
        <x:v>46287.965046296296</x:v>
      </x:c>
      <x:c r="E19" s="1977" t="str">
        <x:v>feb87b1934c10046a19cfef610c44f1710b825b8</x:v>
      </x:c>
      <x:c r="F19" s="1977" t="str">
        <x:v>AuxOutput一律拒绝KV connector，误伤KV offload组合。</x:v>
      </x:c>
      <x:c r="G19" s="1977" t="str">
        <x:v>AuxOutput connector门禁</x:v>
      </x:c>
      <x:c r="H19" s="1977" t="str">
        <x:v>修改 vllm/config/vllm.py; tests/config/test_aux_output_config.py；使用has_connector只拒绝五个已知PD connector且递归MultiConnector。</x:v>
      </x:c>
      <x:c r="I19" s="1977" t="str">
        <x:v>AuxOutput connector门禁对应的实际功能配置。</x:v>
      </x:c>
      <x:c r="J19" s="1977" t="str">
        <x:v>共享VllmConfig使用KVTransferConfig.has_connector，Ascend无该AuxOutput校验覆盖。NPU自有PD connector名字未列入五项，放行不证明支持；前窗R3接口缺口仍需先解决。</x:v>
      </x:c>
      <x:c r="K19" s="1979" t="str">
        <x:v>是</x:v>
      </x:c>
      <x:c r="L19" s="1979" t="str">
        <x:v>是</x:v>
      </x:c>
      <x:c r="M19" s="1979" t="str">
        <x:v>不适用</x:v>
      </x:c>
      <x:c r="N19" s="1979" t="str">
        <x:v>直接继承修复</x:v>
      </x:c>
      <x:c r="O19" s="1977" t="str">
        <x:v>共享VllmConfig使用KVTransferConfig.has_connector，Ascend无该AuxOutput校验覆盖。NPU自有PD connector名字未列入五项，放行不证明支持；前窗R3接口缺口仍需先解决。</x:v>
      </x:c>
      <x:c r="P19" s="1979" t="str">
        <x:v>review</x:v>
      </x:c>
      <x:c r="Q19" s="1979" t="str">
        <x:v>P2</x:v>
      </x:c>
      <x:c r="R19" s="1977" t="str">
        <x:v>直接及MultiConnector覆盖Mooncake/Nixl拒绝、offload放行；对Ascend自有PD连接器补能力策略并验证KV/R3联合恢复，避免门禁放宽导致错误启用。</x:v>
      </x:c>
      <x:c r="S19" s="1979" t="str">
        <x:v>待最小回归</x:v>
      </x:c>
      <x:c r="T19" s="1979" t="str">
        <x:v>周学荣</x:v>
      </x:c>
      <x:c r="U19" s="1977" t="str">
        <x:v>分支=main；GraphQL mergedAt=2026-09-22T15:09:40Z；head=61ce2bf5f6fde43367ba70ef4943b7ef0d70c2e0；files=2</x:v>
      </x:c>
    </x:row>
    <x:row r="20" ht="70" customHeight="1">
      <x:c r="A20" s="1980" t="str">
        <x:v>BUG-58073</x:v>
      </x:c>
      <x:c r="B20" s="1980" t="str">
        <x:v>https://github.com/vllm-project/vllm/pull/58073</x:v>
      </x:c>
      <x:c r="C20" s="1980" t="str">
        <x:v>[Bugfix] prioritize architecture capability before DeepGEMM availability check</x:v>
      </x:c>
      <x:c r="D20" s="1981" t="n">
        <x:v>46287.98478009259</x:v>
      </x:c>
      <x:c r="E20" s="1980" t="str">
        <x:v>c42f5285ec9851dacfa370e163e7837e87fd7b6d</x:v>
      </x:c>
      <x:c r="F20" s="1980" t="str">
        <x:v>不支持DeepGEMM的架构仍触发模块可用性检查及无关警告。</x:v>
      </x:c>
      <x:c r="G20" s="1980" t="str">
        <x:v>DeepGEMM能力短路</x:v>
      </x:c>
      <x:c r="H20" s="1980" t="str">
        <x:v>修改 vllm/utils/deep_gemm.py；将is_supported_arch置于and表达式最左侧。</x:v>
      </x:c>
      <x:c r="I20" s="1980" t="str">
        <x:v>DeepGEMM能力短路对应的实际功能配置。</x:v>
      </x:c>
      <x:c r="J20" s="1980" t="str">
        <x:v>共享is_deep_gemm_supported能力查询先判is_supported_arch，NPU不符合CUDA架构即短路；Ascend未覆盖此helper。这是避免导入/警告，不是支持DeepGEMM内核。</x:v>
      </x:c>
      <x:c r="K20" s="1982" t="str">
        <x:v>是</x:v>
      </x:c>
      <x:c r="L20" s="1982" t="str">
        <x:v>是</x:v>
      </x:c>
      <x:c r="M20" s="1982" t="str">
        <x:v>不适用</x:v>
      </x:c>
      <x:c r="N20" s="1982" t="str">
        <x:v>直接继承修复</x:v>
      </x:c>
      <x:c r="O20" s="1980" t="str">
        <x:v>共享is_deep_gemm_supported能力查询先判is_supported_arch，NPU不符合CUDA架构即短路；Ascend未覆盖此helper。这是避免导入/警告，不是支持DeepGEMM内核。</x:v>
      </x:c>
      <x:c r="P20" s="1982" t="str">
        <x:v>review</x:v>
      </x:c>
      <x:c r="Q20" s="1982" t="str">
        <x:v>P2</x:v>
      </x:c>
      <x:c r="R20" s="1980" t="str">
        <x:v>在NPU最小复现并回归vllm/utils/deep_gemm.py，确认共享修复已进入且输出/错误符合预期。</x:v>
      </x:c>
      <x:c r="S20" s="1982" t="str">
        <x:v>待最小回归</x:v>
      </x:c>
      <x:c r="T20" s="1982" t="str">
        <x:v>王锟鹏</x:v>
      </x:c>
      <x:c r="U20" s="1980" t="str">
        <x:v>分支=main；GraphQL mergedAt=2026-09-22T15:38:05Z；head=30dada1bea3b2088db3ed4c61c878c89816a3c90；files=1</x:v>
      </x:c>
    </x:row>
    <x:row r="21" ht="120" customHeight="1">
      <x:c r="A21" s="1977" t="str">
        <x:v>BUG-57867</x:v>
      </x:c>
      <x:c r="B21" s="1977" t="str">
        <x:v>https://github.com/vllm-project/vllm/pull/57867</x:v>
      </x:c>
      <x:c r="C21" s="1977" t="str">
        <x:v>[Bugfix][MoE] Reject hash routing for unsupported monolithic backends</x:v>
      </x:c>
      <x:c r="D21" s="1978" t="n">
        <x:v>46287.18651620371</x:v>
      </x:c>
      <x:c r="E21" s="1977" t="str">
        <x:v>9179bcd4166bd03f4903aafed39d2c284eeb8c91</x:v>
      </x:c>
      <x:c r="F21" s="1977" t="str">
        <x:v>不支持token/hash输入的monolithic MoE后端可被hash routing模型选中。</x:v>
      </x:c>
      <x:c r="G21" s="1977" t="str">
        <x:v>MoE hash路由能力</x:v>
      </x:c>
      <x:c r="H21" s="1977" t="str">
        <x:v>修改 vllm/model_executor/layers/fused_moe/config.py; vllm/model_executor/layers/fused_moe/layer.py; vllm/model_executor/layers/fused_moe/modular_kernel.py; tests/kernels/moe/conftest.py; tests/kernels/moe/test_topk_softplus_sqrt.py；FusedMoEConfig增加has_hash_routing，通用能力检查拒绝hash与monolithic组合。</x:v>
      </x:c>
      <x:c r="I21" s="1977" t="str">
        <x:v>MoE hash路由能力对应的实际功能配置。</x:v>
      </x:c>
      <x:c r="J21" s="1977" t="str">
        <x:v>Ascend patch_fused_moe.py构造自有router并传tid2eid，ops/fused_moe/router执行NPU路由；不选择被拒绝的CUDA/ROCm monolithic专家。保留hash协议回归，不能按共同MoE文件推定缺陷。</x:v>
      </x:c>
      <x:c r="K21" s="1979" t="str">
        <x:v>否</x:v>
      </x:c>
      <x:c r="L21" s="1979" t="str">
        <x:v>否</x:v>
      </x:c>
      <x:c r="M21" s="1979" t="str">
        <x:v>不适用</x:v>
      </x:c>
      <x:c r="N21" s="1979" t="str">
        <x:v>不受影响</x:v>
      </x:c>
      <x:c r="O21" s="1977" t="str">
        <x:v>Ascend patch_fused_moe.py构造自有router并传tid2eid，ops/fused_moe/router执行NPU路由；不选择被拒绝的CUDA/ROCm monolithic专家。保留hash协议回归，不能按共同MoE文件推定缺陷。</x:v>
      </x:c>
      <x:c r="P21" s="1979" t="str">
        <x:v>dismiss</x:v>
      </x:c>
      <x:c r="Q21" s="1979" t="str">
        <x:v>P3</x:v>
      </x:c>
      <x:c r="R21" s="1977" t="str">
        <x:v>维持当前有效实现；若启用该平台/模型路径，再以PR #57867建立专项回归。</x:v>
      </x:c>
      <x:c r="S21" s="1979" t="str">
        <x:v>静态闭环</x:v>
      </x:c>
      <x:c r="T21" s="1979" t="str">
        <x:v>魏谨谦</x:v>
      </x:c>
      <x:c r="U21" s="1977" t="str">
        <x:v>分支=main；GraphQL mergedAt=2026-09-21T20:28:35Z；head=c2932a9c7ce1fbc84528c82639926e6400671d2c；files=5</x:v>
      </x:c>
    </x:row>
    <x:row r="22" ht="93" customHeight="1">
      <x:c r="A22" s="1980" t="str">
        <x:v>BUG-57866</x:v>
      </x:c>
      <x:c r="B22" s="1980" t="str">
        <x:v>https://github.com/vllm-project/vllm/pull/57866</x:v>
      </x:c>
      <x:c r="C22" s="1980" t="str">
        <x:v>[Bugfix][ROCm] Reject unsupported EP for monolithic AITER MXFP4 MoE</x:v>
      </x:c>
      <x:c r="D22" s="1981" t="n">
        <x:v>46287.18775462963</x:v>
      </x:c>
      <x:c r="E22" s="1980" t="str">
        <x:v>12972ae40bece6f9b9898fadd0c50d6a317df6fd</x:v>
      </x:c>
      <x:c r="F22" s="1980" t="str">
        <x:v>AITER MXFP4 monolithic MoE在EP下错误使用全局专家数。</x:v>
      </x:c>
      <x:c r="G22" s="1980" t="str">
        <x:v>AITER EP专家映射</x:v>
      </x:c>
      <x:c r="H22" s="1980" t="str">
        <x:v>修改 vllm/model_executor/layers/fused_moe/experts/aiter_mxfp4_w4a16_moe.py; vllm/model_executor/layers/fused_moe/experts/aiter_mxfp4_w4a8_moe.py; tests/kernels/moe/test_ocp_mx_moe.py；W4A16/W4A8能力门禁由all2all条件改为禁止use_ep。</x:v>
      </x:c>
      <x:c r="I22" s="1980" t="str">
        <x:v>AITER EP专家映射对应的实际功能配置。</x:v>
      </x:c>
      <x:c r="J22" s="1980" t="str">
        <x:v>AITER MXFP4 W4A16/W4A8是ROCm后端；NPU采用自有量化和专家分发，不执行其monolithic专家索引。</x:v>
      </x:c>
      <x:c r="K22" s="1982" t="str">
        <x:v>否</x:v>
      </x:c>
      <x:c r="L22" s="1982" t="str">
        <x:v>否</x:v>
      </x:c>
      <x:c r="M22" s="1982" t="str">
        <x:v>不适用</x:v>
      </x:c>
      <x:c r="N22" s="1982" t="str">
        <x:v>不受影响</x:v>
      </x:c>
      <x:c r="O22" s="1980" t="str">
        <x:v>AITER MXFP4 W4A16/W4A8是ROCm后端；NPU采用自有量化和专家分发，不执行其monolithic专家索引。</x:v>
      </x:c>
      <x:c r="P22" s="1982" t="str">
        <x:v>dismiss</x:v>
      </x:c>
      <x:c r="Q22" s="1982" t="str">
        <x:v>P3</x:v>
      </x:c>
      <x:c r="R22" s="1980" t="str">
        <x:v>维持当前有效实现；若启用该平台/模型路径，再以PR #57866建立专项回归。</x:v>
      </x:c>
      <x:c r="S22" s="1982" t="str">
        <x:v>静态闭环</x:v>
      </x:c>
      <x:c r="T22" s="1982" t="str">
        <x:v>魏谨谦</x:v>
      </x:c>
      <x:c r="U22" s="1980" t="str">
        <x:v>分支=main；GraphQL mergedAt=2026-09-21T20:30:22Z；head=00fd28a475b923412a3cea21e30b8ff1e32efa07；files=3</x:v>
      </x:c>
    </x:row>
    <x:row r="23" ht="70" customHeight="1">
      <x:c r="A23" s="1983" t="str">
        <x:v>BUG-57871</x:v>
      </x:c>
      <x:c r="B23" s="1983" t="str">
        <x:v>https://github.com/vllm-project/vllm/pull/57871</x:v>
      </x:c>
      <x:c r="C23" s="1983" t="str">
        <x:v>[CI][Build] Harden triton-cpu sleef submodule fetch in CPU image build</x:v>
      </x:c>
      <x:c r="D23" s="1984" t="n">
        <x:v>46287.271006944444</x:v>
      </x:c>
      <x:c r="E23" s="1983" t="str">
        <x:v>8644d2af2fb7c4588190a8d7f6c26a3cbef78a0f</x:v>
      </x:c>
      <x:c r="F23" s="1983" t="str">
        <x:v>CPU镜像triton-cpu浅克隆偶发缺失sleef子模块，CMake失败。</x:v>
      </x:c>
      <x:c r="G23" s="1983" t="str">
        <x:v>CPU镜像子模块</x:v>
      </x:c>
      <x:c r="H23" s="1983" t="str">
        <x:v>修改 docker/Dockerfile.cpu；检查CMakeLists，缺失则完整重取子模块，仍缺失时明确失败。</x:v>
      </x:c>
      <x:c r="I23" s="1983" t="str">
        <x:v>CPU镜像子模块对应的实际功能配置。</x:v>
      </x:c>
      <x:c r="J23" s="1983" t="str">
        <x:v>仅上游CPU Dockerfile中triton-cpu的sleef检出；Ascend独立Docker/AscendC构建不走该CPU镜像stage。</x:v>
      </x:c>
      <x:c r="K23" s="1985" t="str">
        <x:v>否</x:v>
      </x:c>
      <x:c r="L23" s="1985" t="str">
        <x:v>否</x:v>
      </x:c>
      <x:c r="M23" s="1985" t="str">
        <x:v>不适用</x:v>
      </x:c>
      <x:c r="N23" s="1985" t="str">
        <x:v>不受影响</x:v>
      </x:c>
      <x:c r="O23" s="1983" t="str">
        <x:v>仅上游CPU Dockerfile中triton-cpu的sleef检出；Ascend独立Docker/AscendC构建不走该CPU镜像stage。</x:v>
      </x:c>
      <x:c r="P23" s="1985" t="str">
        <x:v>dismiss</x:v>
      </x:c>
      <x:c r="Q23" s="1985" t="str">
        <x:v>P3</x:v>
      </x:c>
      <x:c r="R23" s="1983" t="str">
        <x:v>维持当前有效实现；若启用该平台/模型路径，再以PR #57871建立专项回归。</x:v>
      </x:c>
      <x:c r="S23" s="1985" t="str">
        <x:v>静态闭环</x:v>
      </x:c>
      <x:c r="T23" s="1985" t="str">
        <x:v>邵圣珂</x:v>
      </x:c>
      <x:c r="U23" s="1983" t="str">
        <x:v>分支=main；GraphQL mergedAt=2026-09-21T22:30:15Z；head=c2b6d2770cfc201aaa30225f111065e7ae573026；files=1</x:v>
      </x:c>
    </x:row>
    <x:row r="24" ht="70" customHeight="1">
      <x:c r="A24" s="1952" t="str">
        <x:v>BUG-57984</x:v>
      </x:c>
      <x:c r="B24" s="1952" t="str">
        <x:v>https://github.com/vllm-project/vllm/pull/57984</x:v>
      </x:c>
      <x:c r="C24" s="1952" t="str">
        <x:v>[Bugfix][Kernel] Skip the fused silu-mul block-quant fast path when a swiglu clamp is set</x:v>
      </x:c>
      <x:c r="D24" s="1986" t="n">
        <x:v>46287.27684027778</x:v>
      </x:c>
      <x:c r="E24" s="1952" t="str">
        <x:v>8bf051cd51adff79e1bc94e910adaea543aaa2e1</x:v>
      </x:c>
      <x:c r="F24" s="1952" t="str">
        <x:v>Triton block FP8融合SiLU量化忽略SwiGLU clamp，输出错误。</x:v>
      </x:c>
      <x:c r="G24" s="1952" t="str">
        <x:v>SwiGLU clamp丢失</x:v>
      </x:c>
      <x:c r="H24" s="1952" t="str">
        <x:v>修改 vllm/model_executor/layers/fused_moe/experts/triton_moe.py; tests/kernels/moe/test_block_fp8.py；仅clamp_limit为空才用融合快路径，其他走已有clamp实现。</x:v>
      </x:c>
      <x:c r="I24" s="1952" t="str">
        <x:v>SwiGLU clamp丢失对应的实际功能配置。</x:v>
      </x:c>
      <x:c r="J24" s="1952" t="str">
        <x:v>修复限定TritonExperts block128融合量化；Ascend注册自有FusedMoE/量化实现，不运行silu_and_mul_per_block_quant。NPU clamp支持另属模型能力，不由此证明。</x:v>
      </x:c>
      <x:c r="K24" s="1950" t="str">
        <x:v>否</x:v>
      </x:c>
      <x:c r="L24" s="1950" t="str">
        <x:v>否</x:v>
      </x:c>
      <x:c r="M24" s="1950" t="str">
        <x:v>不适用</x:v>
      </x:c>
      <x:c r="N24" s="1950" t="str">
        <x:v>不受影响</x:v>
      </x:c>
      <x:c r="O24" s="1952" t="str">
        <x:v>修复限定TritonExperts block128融合量化；Ascend注册自有FusedMoE/量化实现，不运行silu_and_mul_per_block_quant。NPU clamp支持另属模型能力，不由此证明。</x:v>
      </x:c>
      <x:c r="P24" s="1950" t="str">
        <x:v>dismiss</x:v>
      </x:c>
      <x:c r="Q24" s="1950" t="str">
        <x:v>P3</x:v>
      </x:c>
      <x:c r="R24" s="1952" t="str">
        <x:v>维持当前有效实现；若启用该平台/模型路径，再以PR #57984建立专项回归。</x:v>
      </x:c>
      <x:c r="S24" s="1950" t="str">
        <x:v>静态闭环</x:v>
      </x:c>
      <x:c r="T24" s="1950" t="str">
        <x:v>王锟鹏</x:v>
      </x:c>
      <x:c r="U24" s="1952" t="str">
        <x:v>分支=main；GraphQL mergedAt=2026-09-21T22:38:39Z；head=caeac0c4132b3663f059195036e6f4c7563acc5a；files=2</x:v>
      </x:c>
    </x:row>
    <x:row r="25" ht="93" customHeight="1">
      <x:c r="A25" s="1983" t="str">
        <x:v>BUG-51565</x:v>
      </x:c>
      <x:c r="B25" s="1983" t="str">
        <x:v>https://github.com/vllm-project/vllm/pull/51565</x:v>
      </x:c>
      <x:c r="C25" s="1983" t="str">
        <x:v>[Bugfix][GDN] Fix stateless first-chunk classification</x:v>
      </x:c>
      <x:c r="D25" s="1984" t="n">
        <x:v>46287.38321759259</x:v>
      </x:c>
      <x:c r="E25" s="1983" t="str">
        <x:v>79468c20ef23227d4e051f807e10fd54fb24e24f</x:v>
      </x:c>
      <x:c r="F25" s="1983" t="str">
        <x:v>GDN无历史状态的一token首块被当decode，读到回收页旧状态。</x:v>
      </x:c>
      <x:c r="G25" s="1983" t="str">
        <x:v>GDN首块状态</x:v>
      </x:c>
      <x:c r="H25" s="1983" t="str">
        <x:v>修改 vllm/v1/attention/backends/gdn_attn.py; tests/v1/attention/test_gdn_metadata_builder.py；结合seq/query长度与is_prefilling区分首块、续块、capture dummy，修正padding计数。</x:v>
      </x:c>
      <x:c r="I25" s="1983" t="str">
        <x:v>GDN首块状态对应的实际功能配置。</x:v>
      </x:c>
      <x:c r="J25" s="1983" t="str">
        <x:v>AscendGDNAttentionMetadataBuilder自有build已设置treat_short_extends_as_decodes=False，共享split会结合m.is_prefilling，将无状态首块归入prefill。修复不直接进入，但已防止本PR的非投机首块误读；不要扩展为所有混合spec场景已验证。</x:v>
      </x:c>
      <x:c r="K25" s="1985" t="str">
        <x:v>是</x:v>
      </x:c>
      <x:c r="L25" s="1985" t="str">
        <x:v>否</x:v>
      </x:c>
      <x:c r="M25" s="1985" t="str">
        <x:v>是</x:v>
      </x:c>
      <x:c r="N25" s="1985" t="str">
        <x:v>不受影响</x:v>
      </x:c>
      <x:c r="O25" s="1983" t="str">
        <x:v>AscendGDNAttentionMetadataBuilder自有build已设置treat_short_extends_as_decodes=False，共享split会结合m.is_prefilling，将无状态首块归入prefill。修复不直接进入，但已防止本PR的非投机首块误读；不要扩展为所有混合spec场景已验证。</x:v>
      </x:c>
      <x:c r="P25" s="1985" t="str">
        <x:v>dismiss</x:v>
      </x:c>
      <x:c r="Q25" s="1985" t="str">
        <x:v>P3</x:v>
      </x:c>
      <x:c r="R25" s="1983" t="str">
        <x:v>复用旧状态页执行一token首块、续块与ACLgraph dummy；另外覆盖混合spec零draft路径，不把上游16个UT当NPU验证。</x:v>
      </x:c>
      <x:c r="S25" s="1985" t="str">
        <x:v>静态闭环</x:v>
      </x:c>
      <x:c r="T25" s="1985" t="str">
        <x:v>龙钢</x:v>
      </x:c>
      <x:c r="U25" s="1983" t="str">
        <x:v>分支=main；GraphQL mergedAt=2026-09-22T01:11:50Z；head=7398cfc9c0244b0f778cc609a8b4f13392473381；files=2</x:v>
      </x:c>
    </x:row>
    <x:row r="26" ht="93" customHeight="1">
      <x:c r="A26" s="1952" t="str">
        <x:v>BUG-49685</x:v>
      </x:c>
      <x:c r="B26" s="1952" t="str">
        <x:v>https://github.com/vllm-project/vllm/pull/49685</x:v>
      </x:c>
      <x:c r="C26" s="1952" t="str">
        <x:v>[XPU] Fix Nemotron FP8 LM-eval config: drop CUDA-only moe_backend and wire to new Buildkite job</x:v>
      </x:c>
      <x:c r="D26" s="1986" t="n">
        <x:v>46287.420439814814</x:v>
      </x:c>
      <x:c r="E26" s="1952" t="str">
        <x:v>1fee69838eeb72622b441a593888687831c1e434</x:v>
      </x:c>
      <x:c r="F26" s="1952" t="str">
        <x:v>Nemotron FP8评测配置指定CUDA-only MoE后端导致XPU失败。</x:v>
      </x:c>
      <x:c r="G26" s="1952" t="str">
        <x:v>XPU评测后端</x:v>
      </x:c>
      <x:c r="H26" s="1952" t="str">
        <x:v>修改 .buildkite/intel_jobs/lm_eval_intel.yaml; .buildkite/lm-eval-harness/configs/NVIDIA-Nemotron-3-Nano-30B-A3B-FP8-xpu.yaml; .buildkite/lm-eval-harness/configs/models-large-xpu-fp8.txt；新建XPU配置去掉flashinfer_cutlass并连接Intel CI job。</x:v>
      </x:c>
      <x:c r="I26" s="1952" t="str">
        <x:v>XPU评测后端对应的实际功能配置。</x:v>
      </x:c>
      <x:c r="J26" s="1952" t="str">
        <x:v>仅Intel Buildkite与XPU评测yaml；Ascend独立nightly/CI模型配置不消费这项CUDA-only覆盖。</x:v>
      </x:c>
      <x:c r="K26" s="1950" t="str">
        <x:v>否</x:v>
      </x:c>
      <x:c r="L26" s="1950" t="str">
        <x:v>否</x:v>
      </x:c>
      <x:c r="M26" s="1950" t="str">
        <x:v>不适用</x:v>
      </x:c>
      <x:c r="N26" s="1950" t="str">
        <x:v>不受影响</x:v>
      </x:c>
      <x:c r="O26" s="1952" t="str">
        <x:v>仅Intel Buildkite与XPU评测yaml；Ascend独立nightly/CI模型配置不消费这项CUDA-only覆盖。</x:v>
      </x:c>
      <x:c r="P26" s="1950" t="str">
        <x:v>dismiss</x:v>
      </x:c>
      <x:c r="Q26" s="1950" t="str">
        <x:v>P3</x:v>
      </x:c>
      <x:c r="R26" s="1952" t="str">
        <x:v>维持当前有效实现；若启用该平台/模型路径，再以PR #49685建立专项回归。</x:v>
      </x:c>
      <x:c r="S26" s="1950" t="str">
        <x:v>静态闭环</x:v>
      </x:c>
      <x:c r="T26" s="1950" t="str">
        <x:v>张新悦</x:v>
      </x:c>
      <x:c r="U26" s="1952" t="str">
        <x:v>分支=main；GraphQL mergedAt=2026-09-22T02:05:26Z；head=6948f037e8b5579bcfd3b274b052e512e44f93ae；files=3</x:v>
      </x:c>
    </x:row>
    <x:row r="27" ht="70" customHeight="1">
      <x:c r="A27" s="1983" t="str">
        <x:v>BUG-57606</x:v>
      </x:c>
      <x:c r="B27" s="1983" t="str">
        <x:v>https://github.com/vllm-project/vllm/pull/57606</x:v>
      </x:c>
      <x:c r="C27" s="1983" t="str">
        <x:v>[Docker] Expose bundled vllm-rs on PATH</x:v>
      </x:c>
      <x:c r="D27" s="1984" t="n">
        <x:v>46287.46046296296</x:v>
      </x:c>
      <x:c r="E27" s="1983" t="str">
        <x:v>f07e227ee9acdb8d7e48d69f178c897fb54ecd88</x:v>
      </x:c>
      <x:c r="F27" s="1983" t="str">
        <x:v>CUDA镜像已带vllm-rs二进制但PATH找不到，entrypoint退出127。</x:v>
      </x:c>
      <x:c r="G27" s="1983" t="str">
        <x:v>CUDA镜像Rust入口</x:v>
      </x:c>
      <x:c r="H27" s="1983" t="str">
        <x:v>修改 docker/Dockerfile；从sysconfig包路径创建/usr/local/bin链接并构建时运行help。</x:v>
      </x:c>
      <x:c r="I27" s="1983" t="str">
        <x:v>CUDA镜像Rust入口对应的实际功能配置。</x:v>
      </x:c>
      <x:c r="J27" s="1983" t="str">
        <x:v>修改上游CUDA Dockerfile的vllm-base，Ascend独立镜像不直接继承此RUN；若交付Rust入口应在NPU镜像做PATH专项检查。</x:v>
      </x:c>
      <x:c r="K27" s="1985" t="str">
        <x:v>否</x:v>
      </x:c>
      <x:c r="L27" s="1985" t="str">
        <x:v>否</x:v>
      </x:c>
      <x:c r="M27" s="1985" t="str">
        <x:v>不适用</x:v>
      </x:c>
      <x:c r="N27" s="1985" t="str">
        <x:v>不受影响</x:v>
      </x:c>
      <x:c r="O27" s="1983" t="str">
        <x:v>修改上游CUDA Dockerfile的vllm-base，Ascend独立镜像不直接继承此RUN；若交付Rust入口应在NPU镜像做PATH专项检查。</x:v>
      </x:c>
      <x:c r="P27" s="1985" t="str">
        <x:v>dismiss</x:v>
      </x:c>
      <x:c r="Q27" s="1985" t="str">
        <x:v>P3</x:v>
      </x:c>
      <x:c r="R27" s="1983" t="str">
        <x:v>维持当前有效实现；若启用该平台/模型路径，再以PR #57606建立专项回归。</x:v>
      </x:c>
      <x:c r="S27" s="1985" t="str">
        <x:v>静态闭环</x:v>
      </x:c>
      <x:c r="T27" s="1985" t="str">
        <x:v>张新悦</x:v>
      </x:c>
      <x:c r="U27" s="1983" t="str">
        <x:v>分支=main；GraphQL mergedAt=2026-09-22T03:03:04Z；head=5f08aba989be35ca6b92ad0a009628e3e249439c；files=1</x:v>
      </x:c>
    </x:row>
    <x:row r="28" ht="147" customHeight="1">
      <x:c r="A28" s="1952" t="str">
        <x:v>BUG-57312</x:v>
      </x:c>
      <x:c r="B28" s="1952" t="str">
        <x:v>https://github.com/vllm-project/vllm/pull/57312</x:v>
      </x:c>
      <x:c r="C28" s="1952" t="str">
        <x:v>[Fast Start] Cache the MTP draft model in a separate daemon group</x:v>
      </x:c>
      <x:c r="D28" s="1986" t="n">
        <x:v>46287.4678125</x:v>
      </x:c>
      <x:c r="E28" s="1952" t="str">
        <x:v>c723a831a81cb4ff89ea6d61b2d15109306ed1bc</x:v>
      </x:c>
      <x:c r="F28" s="1952" t="str">
        <x:v>IPC权重缓存把draft送入target daemon或重读磁盘。</x:v>
      </x:c>
      <x:c r="G28" s="1952" t="str">
        <x:v>IPC draft缓存路由</x:v>
      </x:c>
      <x:c r="H28" s="1952" t="str">
        <x:v>修改 vllm/config/speculative.py; vllm/model_executor/model_loader/utils.py; vllm/model_executor/model_loader/weight_cache/__init__.py; vllm/model_executor/model_loader/weight_cache/daemon.py; vllm/model_executor/model_loader/weight_cache/ipc_loader.py; vllm/model_executor/model_loader/weight_cache/protocol.py；独立draft daemon、socket及缓存key，导出加载属性；最终代码支持mtp/eagle/eagle3，其余回退磁盘。</x:v>
      </x:c>
      <x:c r="I28" s="1952" t="str">
        <x:v>IPC draft缓存路由对应的实际功能配置。</x:v>
      </x:c>
      <x:c r="J28" s="1952" t="str">
        <x:v>上游weight_cache/protocol.check_ipc_platform_support只允许is_cuda_alike；NPU不走CUDA IPC loader，现有rfork和NPU IPC权重传输不是此daemon协议。优化思想另列POC。</x:v>
      </x:c>
      <x:c r="K28" s="1950" t="str">
        <x:v>否</x:v>
      </x:c>
      <x:c r="L28" s="1950" t="str">
        <x:v>否</x:v>
      </x:c>
      <x:c r="M28" s="1950" t="str">
        <x:v>不适用</x:v>
      </x:c>
      <x:c r="N28" s="1950" t="str">
        <x:v>不受影响</x:v>
      </x:c>
      <x:c r="O28" s="1952" t="str">
        <x:v>上游weight_cache/protocol.check_ipc_platform_support只允许is_cuda_alike；NPU不走CUDA IPC loader，现有rfork和NPU IPC权重传输不是此daemon协议。优化思想另列POC。</x:v>
      </x:c>
      <x:c r="P28" s="1950" t="str">
        <x:v>dismiss</x:v>
      </x:c>
      <x:c r="Q28" s="1950" t="str">
        <x:v>P3</x:v>
      </x:c>
      <x:c r="R28" s="1952" t="str">
        <x:v>维持当前有效实现；若启用该平台/模型路径，再以PR #57312建立专项回归。</x:v>
      </x:c>
      <x:c r="S28" s="1950" t="str">
        <x:v>静态闭环</x:v>
      </x:c>
      <x:c r="T28" s="1950" t="str">
        <x:v>徐驰</x:v>
      </x:c>
      <x:c r="U28" s="1952" t="str">
        <x:v>分支=main；GraphQL mergedAt=2026-09-22T03:13:39Z；head=9d0ad0c0a68ecbeddf025150e0d991c796d29b40；files=16</x:v>
      </x:c>
    </x:row>
    <x:row r="29" ht="120" customHeight="1">
      <x:c r="A29" s="1983" t="str">
        <x:v>BUG-57933</x:v>
      </x:c>
      <x:c r="B29" s="1983" t="str">
        <x:v>https://github.com/vllm-project/vllm/pull/57933</x:v>
      </x:c>
      <x:c r="C29" s="1983" t="str">
        <x:v>[Rust Frontend] Add MiMo V2.6 parser support</x:v>
      </x:c>
      <x:c r="D29" s="1984" t="n">
        <x:v>46287.51886574074</x:v>
      </x:c>
      <x:c r="E29" s="1983" t="str">
        <x:v>ff3c9cba3f459085efdac7e8b7fed35bdb0151a2</x:v>
      </x:c>
      <x:c r="F29" s="1983" t="str">
        <x:v>Rust前端缺MiMo裸reasoning分隔和function/parameter工具协议。</x:v>
      </x:c>
      <x:c r="G29" s="1983" t="str">
        <x:v>Rust MiMo模板解析</x:v>
      </x:c>
      <x:c r="H29" s="1983" t="str">
        <x:v>修改 rust/src/chat/src/lib.rs; rust/src/chat/src/output/default/structural_tag.rs; rust/src/chat/src/parser/reasoning/mod.rs; rust/src/chat/src/parser/tool/mod.rs; rust/src/chat/src/parser/tool/tests.rs; rust/src/chat/tests/roundtrip.rs；增加MiMo选择、空白保留、None按schema转换及主模板发现修复。</x:v>
      </x:c>
      <x:c r="I29" s="1983" t="str">
        <x:v>Rust MiMo模板解析对应的实际功能配置。</x:v>
      </x:c>
      <x:c r="J29" s="1983" t="str">
        <x:v>变更位于Rust parser/chat和模板发现；Ascend以共享Python服务为主，pinned源码无法证明实际部署已使用Rust MiMo入口。共享Rust前端能力可承接，但可达性须确认。</x:v>
      </x:c>
      <x:c r="K29" s="1985" t="str">
        <x:v>未知</x:v>
      </x:c>
      <x:c r="L29" s="1985" t="str">
        <x:v>未知</x:v>
      </x:c>
      <x:c r="M29" s="1985" t="str">
        <x:v>未知</x:v>
      </x:c>
      <x:c r="N29" s="1985" t="str">
        <x:v>待确认</x:v>
      </x:c>
      <x:c r="O29" s="1983" t="str">
        <x:v>变更位于Rust parser/chat和模板发现；Ascend以共享Python服务为主，pinned源码无法证明实际部署已使用Rust MiMo入口。共享Rust前端能力可承接，但可达性须确认。</x:v>
      </x:c>
      <x:c r="P29" s="1985" t="str">
        <x:v>review</x:v>
      </x:c>
      <x:c r="Q29" s="1985" t="str">
        <x:v>P3</x:v>
      </x:c>
      <x:c r="R29" s="1983" t="str">
        <x:v>先确认NPU部署是否启用vllm-rs及MiMo模型；对真实模板运行reasoning/tool流式往返、None schema与root模板优先级测试。</x:v>
      </x:c>
      <x:c r="S29" s="1985" t="str">
        <x:v>待确认</x:v>
      </x:c>
      <x:c r="T29" s="1985" t="str">
        <x:v>冀元祎</x:v>
      </x:c>
      <x:c r="U29" s="1983" t="str">
        <x:v>分支=main；GraphQL mergedAt=2026-09-22T04:27:10Z；head=23d59ef0537cee0d6fb50d552c482b5a1f8198dd；files=13</x:v>
      </x:c>
    </x:row>
    <x:row r="30" ht="70" customHeight="1">
      <x:c r="A30" s="1952" t="str">
        <x:v>BUG-57919</x:v>
      </x:c>
      <x:c r="B30" s="1952" t="str">
        <x:v>https://github.com/vllm-project/vllm/pull/57919</x:v>
      </x:c>
      <x:c r="C30" s="1952" t="str">
        <x:v>[ROCm][Bugfix] Explicitly reject FSE=1 with DPA+ETP deployment for DeepSeek-V4</x:v>
      </x:c>
      <x:c r="D30" s="1986" t="n">
        <x:v>46287.531863425924</x:v>
      </x:c>
      <x:c r="E30" s="1952" t="str">
        <x:v>42a85a49761921fe5965e28eb971d863d9759503</x:v>
      </x:c>
      <x:c r="F30" s="1952" t="str">
        <x:v>ROCm DSV4 DPA+ETP启用融合共享专家会以权重KeyError失败。</x:v>
      </x:c>
      <x:c r="G30" s="1952" t="str">
        <x:v>ROCm FSE/DPA配置</x:v>
      </x:c>
      <x:c r="H30" s="1952" t="str">
        <x:v>修改 vllm/models/deepseek_v4/amd/model.py; tests/models/test_deepseek_v4_vl_rocm.py；在模型构造检查非EP且DP&gt;1与FSE组合并给出关闭选项。</x:v>
      </x:c>
      <x:c r="I30" s="1952" t="str">
        <x:v>ROCm FSE/DPA配置对应的实际功能配置。</x:v>
      </x:c>
      <x:c r="J30" s="1952" t="str">
        <x:v>只修改deepseek_v4/amd/model.py；NPU模型注册为vllm_ascend.models.deepseek_v4，专家与共享专家方案不同，不执行ROCm FSE门禁。</x:v>
      </x:c>
      <x:c r="K30" s="1950" t="str">
        <x:v>否</x:v>
      </x:c>
      <x:c r="L30" s="1950" t="str">
        <x:v>否</x:v>
      </x:c>
      <x:c r="M30" s="1950" t="str">
        <x:v>不适用</x:v>
      </x:c>
      <x:c r="N30" s="1950" t="str">
        <x:v>不受影响</x:v>
      </x:c>
      <x:c r="O30" s="1952" t="str">
        <x:v>只修改deepseek_v4/amd/model.py；NPU模型注册为vllm_ascend.models.deepseek_v4，专家与共享专家方案不同，不执行ROCm FSE门禁。</x:v>
      </x:c>
      <x:c r="P30" s="1950" t="str">
        <x:v>dismiss</x:v>
      </x:c>
      <x:c r="Q30" s="1950" t="str">
        <x:v>P3</x:v>
      </x:c>
      <x:c r="R30" s="1952" t="str">
        <x:v>维持当前有效实现；若启用该平台/模型路径，再以PR #57919建立专项回归。</x:v>
      </x:c>
      <x:c r="S30" s="1950" t="str">
        <x:v>静态闭环</x:v>
      </x:c>
      <x:c r="T30" s="1950" t="str">
        <x:v>曾彦嘉</x:v>
      </x:c>
      <x:c r="U30" s="1952" t="str">
        <x:v>分支=main；GraphQL mergedAt=2026-09-22T04:45:53Z；head=41047aef97d860cdcceff542f45a9f7a4634bb0d；files=2</x:v>
      </x:c>
    </x:row>
    <x:row r="31" ht="70" customHeight="1">
      <x:c r="A31" s="1983" t="str">
        <x:v>BUG-57945</x:v>
      </x:c>
      <x:c r="B31" s="1983" t="str">
        <x:v>https://github.com/vllm-project/vllm/pull/57945</x:v>
      </x:c>
      <x:c r="C31" s="1983" t="str">
        <x:v>[Build] Fix CUDA 12 KV connector dependency selection</x:v>
      </x:c>
      <x:c r="D31" s="1984" t="n">
        <x:v>46287.884108796294</x:v>
      </x:c>
      <x:c r="E31" s="1983" t="str">
        <x:v>d90f0eade5b56ca83ba03839591fe111c51790b3</x:v>
      </x:c>
      <x:c r="F31" s="1983" t="str">
        <x:v>CUDA12安装新KV connector依赖冲突并可替换固定Torch栈。</x:v>
      </x:c>
      <x:c r="G31" s="1983" t="str">
        <x:v>CUDA12依赖冲突</x:v>
      </x:c>
      <x:c r="H31" s="1983" t="str">
        <x:v>修改 .buildkite/scripts/install-kv-connectors.sh; docker/Dockerfile; requirements/kv_connectors_cu12.txt；按CUDA版本选LMCache/CuPy并施加Torch约束，冲突直接失败。</x:v>
      </x:c>
      <x:c r="I31" s="1983" t="str">
        <x:v>CUDA12依赖冲突对应的实际功能配置。</x:v>
      </x:c>
      <x:c r="J31" s="1983" t="str">
        <x:v>CUDA Docker/CI connector安装依赖与NPU torch_npu/CANN包栈不同；不能将CuPyCUDA12/LMCache版本直接带入Ascend镜像。</x:v>
      </x:c>
      <x:c r="K31" s="1985" t="str">
        <x:v>否</x:v>
      </x:c>
      <x:c r="L31" s="1985" t="str">
        <x:v>否</x:v>
      </x:c>
      <x:c r="M31" s="1985" t="str">
        <x:v>不适用</x:v>
      </x:c>
      <x:c r="N31" s="1985" t="str">
        <x:v>不受影响</x:v>
      </x:c>
      <x:c r="O31" s="1983" t="str">
        <x:v>CUDA Docker/CI connector安装依赖与NPU torch_npu/CANN包栈不同；不能将CuPyCUDA12/LMCache版本直接带入Ascend镜像。</x:v>
      </x:c>
      <x:c r="P31" s="1985" t="str">
        <x:v>dismiss</x:v>
      </x:c>
      <x:c r="Q31" s="1985" t="str">
        <x:v>P3</x:v>
      </x:c>
      <x:c r="R31" s="1983" t="str">
        <x:v>维持当前有效实现；若启用该平台/模型路径，再以PR #57945建立专项回归。</x:v>
      </x:c>
      <x:c r="S31" s="1985" t="str">
        <x:v>静态闭环</x:v>
      </x:c>
      <x:c r="T31" s="1985" t="str">
        <x:v>邵圣珂</x:v>
      </x:c>
      <x:c r="U31" s="1983" t="str">
        <x:v>分支=main；GraphQL mergedAt=2026-09-22T13:13:07Z；head=9c03bc759e05736ba871b7b99c2e7fc06797e13e；files=3</x:v>
      </x:c>
    </x:row>
    <x:row r="32" ht="79.5" customHeight="1">
      <x:c r="A32" s="1952" t="str">
        <x:v>BUG-58061</x:v>
      </x:c>
      <x:c r="B32" s="1952" t="str">
        <x:v>https://github.com/vllm-project/vllm/pull/58061</x:v>
      </x:c>
      <x:c r="C32" s="1952" t="str">
        <x:v>[Bugfix][GLM-5.3-Flash] Run the dense MLP layers on the sequence-parallel shard</x:v>
      </x:c>
      <x:c r="D32" s="1986" t="n">
        <x:v>46287.91553240741</x:v>
      </x:c>
      <x:c r="E32" s="1952" t="str">
        <x:v>c9b34fdb2d0c9fdcc20fae6454bf0895a5faf6f5</x:v>
      </x:c>
      <x:c r="F32" s="1952" t="str">
        <x:v>GLM5Next SP分片后dense MLP仍做TP allreduce，混合不同token输出。</x:v>
      </x:c>
      <x:c r="G32" s="1952" t="str">
        <x:v>GLM5Next SP dense MLP</x:v>
      </x:c>
      <x:c r="H32" s="1952" t="str">
        <x:v>修改 vllm/models/glm5next/common/model.py; tests/models/glm5next/test_sequence_parallel.py；dense MLP传is_sequence_parallel并关闭重复TP切分/归约。</x:v>
      </x:c>
      <x:c r="I32" s="1952" t="str">
        <x:v>GLM5Next SP dense MLP对应的实际功能配置。</x:v>
      </x:c>
      <x:c r="J32" s="1952" t="str">
        <x:v>NPU glm5next/model.py dense MLP已传is_sequence_parallel=self.is_sequence_parallel及reduce_results=not self.is_sequence_parallel；其linear以disable_tp控制分片，已具同类保护。</x:v>
      </x:c>
      <x:c r="K32" s="1950" t="str">
        <x:v>是</x:v>
      </x:c>
      <x:c r="L32" s="1950" t="str">
        <x:v>否</x:v>
      </x:c>
      <x:c r="M32" s="1950" t="str">
        <x:v>是</x:v>
      </x:c>
      <x:c r="N32" s="1950" t="str">
        <x:v>不受影响</x:v>
      </x:c>
      <x:c r="O32" s="1952" t="str">
        <x:v>NPU glm5next/model.py dense MLP已传is_sequence_parallel=self.is_sequence_parallel及reduce_results=not self.is_sequence_parallel；其linear以disable_tp控制分片，已具同类保护。</x:v>
      </x:c>
      <x:c r="P32" s="1950" t="str">
        <x:v>dismiss</x:v>
      </x:c>
      <x:c r="Q32" s="1950" t="str">
        <x:v>P3</x:v>
      </x:c>
      <x:c r="R32" s="1952" t="str">
        <x:v>TP2/DP2/EP混合长短请求核对dense层token归属、权重完整性、首token和输出异常率，防止后续覆盖丢失已有保护。</x:v>
      </x:c>
      <x:c r="S32" s="1950" t="str">
        <x:v>静态闭环</x:v>
      </x:c>
      <x:c r="T32" s="1950" t="str">
        <x:v>毛琦</x:v>
      </x:c>
      <x:c r="U32" s="1952" t="str">
        <x:v>分支=main；GraphQL mergedAt=2026-09-22T13:58:22Z；head=4f01a6a4c1ff3e75c0799a3b5f75a846e6227d33；files=2</x:v>
      </x:c>
    </x:row>
    <x:row r="33" ht="120" customHeight="1">
      <x:c r="A33" s="1983" t="str">
        <x:v>BUG-55881</x:v>
      </x:c>
      <x:c r="B33" s="1983" t="str">
        <x:v>https://github.com/vllm-project/vllm/pull/55881</x:v>
      </x:c>
      <x:c r="C33" s="1983" t="str">
        <x:v>[Feat][XPU] VLLM_BATCH_INVARIANT support for Dense/MoE models</x:v>
      </x:c>
      <x:c r="D33" s="1984" t="n">
        <x:v>46287.96313657407</x:v>
      </x:c>
      <x:c r="E33" s="1983" t="str">
        <x:v>e4340e41c9a32b2247cc2442b35aa91b081c424f</x:v>
      </x:c>
      <x:c r="F33" s="1983" t="str">
        <x:v>XPU batch invariant选核及浮点归约顺序仍随batch变化。</x:v>
      </x:c>
      <x:c r="G33" s="1983" t="str">
        <x:v>XPU batch invariant</x:v>
      </x:c>
      <x:c r="H33" s="1983" t="str">
        <x:v>修改 vllm/distributed/device_communicators/xpu_communicator.py; vllm/model_executor/determinism/batch_invariant.py; vllm/model_executor/layers/fused_moe/oracle/unquantized.py; vllm/model_executor/layers/layernorm.py; vllm/platforms/xpu.py; vllm/sampling_params.py；强制兼容Triton MoE并采用固定rank顺序归约代替XCCL allreduce。</x:v>
      </x:c>
      <x:c r="I33" s="1983" t="str">
        <x:v>XPU batch invariant对应的实际功能配置。</x:v>
      </x:c>
      <x:c r="J33" s="1983" t="str">
        <x:v>XPU平台MoE门禁与XCCL communicator不在Ascend执行链；NPU自有HCCL和确定性机制。固定rank归约可做方法参考，不代表NPU已满足逐bit一致。</x:v>
      </x:c>
      <x:c r="K33" s="1985" t="str">
        <x:v>否</x:v>
      </x:c>
      <x:c r="L33" s="1985" t="str">
        <x:v>否</x:v>
      </x:c>
      <x:c r="M33" s="1985" t="str">
        <x:v>不适用</x:v>
      </x:c>
      <x:c r="N33" s="1985" t="str">
        <x:v>不受影响</x:v>
      </x:c>
      <x:c r="O33" s="1983" t="str">
        <x:v>XPU平台MoE门禁与XCCL communicator不在Ascend执行链；NPU自有HCCL和确定性机制。固定rank归约可做方法参考，不代表NPU已满足逐bit一致。</x:v>
      </x:c>
      <x:c r="P33" s="1985" t="str">
        <x:v>dismiss</x:v>
      </x:c>
      <x:c r="Q33" s="1985" t="str">
        <x:v>P3</x:v>
      </x:c>
      <x:c r="R33" s="1983" t="str">
        <x:v>维持当前有效实现；若启用该平台/模型路径，再以PR #55881建立专项回归。</x:v>
      </x:c>
      <x:c r="S33" s="1985" t="str">
        <x:v>静态闭环</x:v>
      </x:c>
      <x:c r="T33" s="1985" t="str">
        <x:v>温捷</x:v>
      </x:c>
      <x:c r="U33" s="1983" t="str">
        <x:v>分支=main；GraphQL mergedAt=2026-09-22T15:06:55Z；head=49fa735e8af3becb607dddce91824e717c11d3c9；files=10</x:v>
      </x:c>
    </x:row>
    <x:row r="34" ht="70" customHeight="1">
      <x:c r="A34" s="1952" t="str">
        <x:v>BUG-56579</x:v>
      </x:c>
      <x:c r="B34" s="1952" t="str">
        <x:v>https://github.com/vllm-project/vllm/pull/56579</x:v>
      </x:c>
      <x:c r="C34" s="1952" t="str">
        <x:v>[Bugfix][Attention] Avoid NaN in the Triton softcap for large attention logits</x:v>
      </x:c>
      <x:c r="D34" s="1986" t="n">
        <x:v>46288.00770833333</x:v>
      </x:c>
      <x:c r="E34" s="1952" t="str">
        <x:v>066ee911975133dc148433ed9e65061b4587c969</x:v>
      </x:c>
      <x:c r="F34" s="1952" t="str">
        <x:v>Triton attention softcap用双指数计算tanh，大logit溢出成NaN。</x:v>
      </x:c>
      <x:c r="G34" s="1952" t="str">
        <x:v>Triton softcap数值溢出</x:v>
      </x:c>
      <x:c r="H34" s="1952" t="str">
        <x:v>修改 vllm/v1/attention/ops/triton_attention_helpers.py; tests/kernels/attention/test_triton_unified_attention.py；改用1-2/(exp(2S/x)+1)稳定饱和形式。</x:v>
      </x:c>
      <x:c r="I34" s="1952" t="str">
        <x:v>Triton softcap数值溢出对应的实际功能配置。</x:v>
      </x:c>
      <x:c r="J34" s="1952" t="str">
        <x:v>修复上游Triton unified/DiffKV/INT4 attention helper；NPU platform选择Ascend backend及自有算子，不调用该helper。需避免用此结论替代NPU softcap能力验证。</x:v>
      </x:c>
      <x:c r="K34" s="1950" t="str">
        <x:v>否</x:v>
      </x:c>
      <x:c r="L34" s="1950" t="str">
        <x:v>否</x:v>
      </x:c>
      <x:c r="M34" s="1950" t="str">
        <x:v>不适用</x:v>
      </x:c>
      <x:c r="N34" s="1950" t="str">
        <x:v>不受影响</x:v>
      </x:c>
      <x:c r="O34" s="1952" t="str">
        <x:v>修复上游Triton unified/DiffKV/INT4 attention helper；NPU platform选择Ascend backend及自有算子，不调用该helper。需避免用此结论替代NPU softcap能力验证。</x:v>
      </x:c>
      <x:c r="P34" s="1950" t="str">
        <x:v>dismiss</x:v>
      </x:c>
      <x:c r="Q34" s="1950" t="str">
        <x:v>P3</x:v>
      </x:c>
      <x:c r="R34" s="1952" t="str">
        <x:v>维持当前有效实现；若启用该平台/模型路径，再以PR #56579建立专项回归。</x:v>
      </x:c>
      <x:c r="S34" s="1950" t="str">
        <x:v>静态闭环</x:v>
      </x:c>
      <x:c r="T34" s="1950" t="str">
        <x:v>赵可瑞</x:v>
      </x:c>
      <x:c r="U34" s="1952" t="str">
        <x:v>分支=main；GraphQL mergedAt=2026-09-22T16:11:06Z；head=d5deb6482f7af3b9f2ca9effd659b56d5c4f617d；files=2</x:v>
      </x:c>
    </x:row>
    <x:row r="35" ht="79.5" customHeight="1">
      <x:c r="A35" s="1983" t="str">
        <x:v>BUG-57914</x:v>
      </x:c>
      <x:c r="B35" s="1983" t="str">
        <x:v>https://github.com/vllm-project/vllm/pull/57914</x:v>
      </x:c>
      <x:c r="C35" s="1983" t="str">
        <x:v>[Bugfix][Engram] Fall back when /dev/shm is absent before sharing tables</x:v>
      </x:c>
      <x:c r="D35" s="1984" t="n">
        <x:v>46288.01331018518</x:v>
      </x:c>
      <x:c r="E35" s="1983" t="str">
        <x:v>a6131b0e656e18eeb3797b8856aa3dbc69efd8e5</x:v>
      </x:c>
      <x:c r="F35" s="1983" t="str">
        <x:v>Engram自动共享表在无/dev/shm主机直接disk_usage报错。</x:v>
      </x:c>
      <x:c r="G35" s="1983" t="str">
        <x:v>Engram SHM能力检测</x:v>
      </x:c>
      <x:c r="H35" s="1983" t="str">
        <x:v>修改 vllm/models/deepseek_v41/nvidia/engram.py；先检查SHM目录，缺失回退；简化存储分配异常清理。</x:v>
      </x:c>
      <x:c r="I35" s="1983" t="str">
        <x:v>Engram SHM能力检测对应的实际功能配置。</x:v>
      </x:c>
      <x:c r="J35" s="1983" t="str">
        <x:v>can_share_engram_tables只由NVIDIA模型调用，NPU模型不执行该disk_usage自动探测。当前AscendEngramConfig的dp_shared_memory默认False，显式启用时走自有SharedUvaBuffer并广播创建失败；不是上游自动共享回退方案。</x:v>
      </x:c>
      <x:c r="K35" s="1985" t="str">
        <x:v>否</x:v>
      </x:c>
      <x:c r="L35" s="1985" t="str">
        <x:v>否</x:v>
      </x:c>
      <x:c r="M35" s="1985" t="str">
        <x:v>不适用</x:v>
      </x:c>
      <x:c r="N35" s="1985" t="str">
        <x:v>不受影响</x:v>
      </x:c>
      <x:c r="O35" s="1983" t="str">
        <x:v>can_share_engram_tables只由NVIDIA模型调用，NPU模型不执行该disk_usage自动探测。当前AscendEngramConfig的dp_shared_memory默认False，显式启用时走自有SharedUvaBuffer并广播创建失败；不是上游自动共享回退方案。</x:v>
      </x:c>
      <x:c r="P35" s="1985" t="str">
        <x:v>dismiss</x:v>
      </x:c>
      <x:c r="Q35" s="1985" t="str">
        <x:v>P3</x:v>
      </x:c>
      <x:c r="R35" s="1983" t="str">
        <x:v>无/dev/shm时分别验证默认非共享能启动、显式共享给出一致错误而非rank挂起。若增加NPU自动共享，借鉴能力检测与容量不足回退；不声称当前NPU已具自动回退。</x:v>
      </x:c>
      <x:c r="S35" s="1985" t="str">
        <x:v>静态闭环</x:v>
      </x:c>
      <x:c r="T35" s="1985" t="str">
        <x:v>王小超</x:v>
      </x:c>
      <x:c r="U35" s="1983" t="str">
        <x:v>分支=main；GraphQL mergedAt=2026-09-22T16:19:10Z；head=61987fdd05459adb978d979c9889a6a97082f9fb；files=1</x:v>
      </x:c>
    </x:row>
    <x:row r="36" ht="93" customHeight="1">
      <x:c r="A36" s="1952" t="str">
        <x:v>BUG-43462</x:v>
      </x:c>
      <x:c r="B36" s="1952" t="str">
        <x:v>https://github.com/vllm-project/vllm/pull/43462</x:v>
      </x:c>
      <x:c r="C36" s="1952" t="str">
        <x:v>[Bugfix] hadacore_transform: respect inplace parameter to fix garbage outputs with QuIP transforms</x:v>
      </x:c>
      <x:c r="D36" s="1986" t="n">
        <x:v>46288.03357638889</x:v>
      </x:c>
      <x:c r="E36" s="1952" t="str">
        <x:v>74370a0e3044c16b6ba58f9c144b02ab733cd73a</x:v>
      </x:c>
      <x:c r="F36" s="1952" t="str">
        <x:v>hadacore忽略inplace，输出未写；图编译别名优化后QuIP生成乱码。</x:v>
      </x:c>
      <x:c r="G36" s="1952" t="str">
        <x:v>CUDA Hadamard别名</x:v>
      </x:c>
      <x:c r="H36" s="1952" t="str">
        <x:v>修改 csrc/libtorch_stable/quantization/hadamard/hadacore/hadamard_transform_cuda.cu; vllm/model_executor/layers/quantization/compressed_tensors/transform/module.py；CUDA kernel写out指针，调用显式inplace=False并保留防御clone。</x:v>
      </x:c>
      <x:c r="I36" s="1952" t="str">
        <x:v>CUDA Hadamard别名对应的实际功能配置。</x:v>
      </x:c>
      <x:c r="J36" s="1952" t="str">
        <x:v>修复CUDA hadacore及compressed-tensors在线QuIP；NPU使用自有Hadamard/量化算子，不调用该CUDA编译产物。可借鉴输入输出alias契约测试。</x:v>
      </x:c>
      <x:c r="K36" s="1950" t="str">
        <x:v>否</x:v>
      </x:c>
      <x:c r="L36" s="1950" t="str">
        <x:v>否</x:v>
      </x:c>
      <x:c r="M36" s="1950" t="str">
        <x:v>不适用</x:v>
      </x:c>
      <x:c r="N36" s="1950" t="str">
        <x:v>不受影响</x:v>
      </x:c>
      <x:c r="O36" s="1952" t="str">
        <x:v>修复CUDA hadacore及compressed-tensors在线QuIP；NPU使用自有Hadamard/量化算子，不调用该CUDA编译产物。可借鉴输入输出alias契约测试。</x:v>
      </x:c>
      <x:c r="P36" s="1950" t="str">
        <x:v>dismiss</x:v>
      </x:c>
      <x:c r="Q36" s="1950" t="str">
        <x:v>P3</x:v>
      </x:c>
      <x:c r="R36" s="1952" t="str">
        <x:v>维持当前有效实现；若启用该平台/模型路径，再以PR #43462建立专项回归。</x:v>
      </x:c>
      <x:c r="S36" s="1950" t="str">
        <x:v>静态闭环</x:v>
      </x:c>
      <x:c r="T36" s="1950" t="str">
        <x:v>王锟鹏</x:v>
      </x:c>
      <x:c r="U36" s="1952" t="str">
        <x:v>分支=main；GraphQL mergedAt=2026-09-22T16:48:21Z；head=3a4c10913c8b300bed9ccc240056b8f9a52c224b；files=2</x:v>
      </x:c>
    </x:row>
    <x:row r="37" ht="93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</x:row>
    <x:row r="38" ht="7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</x:row>
    <x:row r="39" ht="7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</x:row>
    <x:row r="40" ht="7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</x:row>
    <x:row r="41" ht="7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</x:row>
    <x:row r="42" ht="7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</x:row>
    <x:row r="43" ht="70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</x:row>
    <x:row r="44" ht="174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</x:row>
    <x:row r="45" ht="70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</x:row>
    <x:row r="46" ht="7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</x:row>
    <x:row r="47" ht="7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</x:row>
    <x:row r="48" ht="147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</x:row>
    <x:row r="49" ht="79.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</x:row>
    <x:row r="50" ht="70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</x:row>
    <x:row r="51" ht="7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</x:row>
    <x:row r="52" ht="70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</x:row>
    <x:row r="53" ht="7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</x:row>
    <x:row r="54" ht="93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</x:row>
    <x:row r="55" ht="79.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</x:row>
    <x:row r="56" ht="160.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</x:row>
    <x:row r="57" ht="106.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</x:row>
    <x:row r="58" ht="70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</x:row>
    <x:row r="59" ht="79.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</x:row>
    <x:row r="60" ht="120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</x:row>
    <x:row r="61" ht="70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</x:row>
  </x:sheetData>
  <x:mergeCells>
    <x:mergeCell ref="A1:U1"/>
    <x:mergeCell ref="A3:U3"/>
    <x:mergeCell ref="A7:U7"/>
  </x:mergeCells>
  <x:conditionalFormatting sqref="N9:N60">
    <x:cfRule type="containsText" dxfId="5" priority="1" operator="containsText" text="需要适配"/>
    <x:cfRule type="containsText" dxfId="6" priority="2" operator="containsText" text="直接继承修复"/>
    <x:cfRule type="containsText" dxfId="7" priority="3" operator="containsText" text="待确认"/>
    <x:cfRule type="containsText" dxfId="8" priority="4" operator="containsText" text="不受影响"/>
  </x:conditionalFormatting>
  <x:conditionalFormatting sqref="N9:N32">
    <x:cfRule type="containsText" dxfId="36" priority="8" operator="containsText" text="需要适配"/>
    <x:cfRule type="containsText" dxfId="37" priority="9" operator="containsText" text="直接继承修复"/>
    <x:cfRule type="containsText" dxfId="38" priority="10" operator="containsText" text="不受影响"/>
  </x:conditionalFormatting>
  <x:conditionalFormatting sqref="N9:N31">
    <x:cfRule type="containsText" dxfId="46" priority="11" operator="containsText" text="需要适配"/>
    <x:cfRule type="containsText" dxfId="47" priority="12" operator="containsText" text="直接继承修复"/>
    <x:cfRule type="containsText" dxfId="48" priority="13" operator="containsText" text="不受影响"/>
  </x:conditionalFormatting>
  <x:conditionalFormatting sqref="N9:N34">
    <x:cfRule type="containsText" dxfId="56" priority="14" operator="containsText" text="需要适配"/>
    <x:cfRule type="containsText" dxfId="57" priority="15" operator="containsText" text="直接继承修复"/>
    <x:cfRule type="containsText" dxfId="58" priority="16" operator="containsText" text="不受影响"/>
  </x:conditionalFormatting>
  <x:conditionalFormatting sqref="N9:N39">
    <x:cfRule type="containsText" dxfId="86" priority="23" operator="containsText" text="需要适配"/>
    <x:cfRule type="containsText" dxfId="87" priority="24" operator="containsText" text="直接继承修复"/>
    <x:cfRule type="containsText" dxfId="88" priority="25" operator="containsText" text="不受影响"/>
  </x:conditionalFormatting>
  <x:conditionalFormatting sqref="N9:N45">
    <x:cfRule type="containsText" dxfId="96" priority="26" operator="containsText" text="需要适配"/>
    <x:cfRule type="containsText" dxfId="97" priority="27" operator="containsText" text="直接继承修复"/>
    <x:cfRule type="containsText" dxfId="98" priority="28" operator="containsText" text="不受影响"/>
  </x:conditionalFormatting>
  <x:conditionalFormatting sqref="N9:N35">
    <x:cfRule type="containsText" dxfId="106" priority="29" operator="containsText" text="需要适配"/>
    <x:cfRule type="containsText" dxfId="107" priority="30" operator="containsText" text="直接继承修复"/>
    <x:cfRule type="containsText" dxfId="108" priority="31" operator="containsText" text="不受影响"/>
  </x:conditionalFormatting>
  <x:conditionalFormatting sqref="N9:N28">
    <x:cfRule type="containsText" dxfId="116" priority="32" operator="containsText" text="需要适配"/>
    <x:cfRule type="containsText" dxfId="117" priority="33" operator="containsText" text="直接继承修复"/>
    <x:cfRule type="containsText" dxfId="118" priority="34" operator="containsText" text="不受影响"/>
  </x:conditionalFormatting>
  <x:conditionalFormatting sqref="N9:N42">
    <x:cfRule type="containsText" dxfId="126" priority="35" operator="containsText" text="需要适配"/>
    <x:cfRule type="containsText" dxfId="127" priority="36" operator="containsText" text="直接继承修复"/>
    <x:cfRule type="containsText" dxfId="128" priority="37" operator="containsText" text="不受影响"/>
  </x:conditionalFormatting>
  <x:conditionalFormatting sqref="N9:N51">
    <x:cfRule type="containsText" dxfId="136" priority="38" operator="containsText" text="需要适配"/>
    <x:cfRule type="containsText" dxfId="137" priority="39" operator="containsText" text="直接继承修复"/>
    <x:cfRule type="containsText" dxfId="138" priority="40" operator="containsText" text="不受影响"/>
  </x:conditionalFormatting>
  <x:conditionalFormatting sqref="N9:N44">
    <x:cfRule type="containsText" dxfId="146" priority="41" operator="containsText" text="需要适配"/>
    <x:cfRule type="containsText" dxfId="147" priority="42" operator="containsText" text="直接继承修复"/>
    <x:cfRule type="containsText" dxfId="148" priority="43" operator="containsText" text="不受影响"/>
  </x:conditionalFormatting>
  <x:conditionalFormatting sqref="N9:N61">
    <x:cfRule type="containsText" dxfId="156" priority="44" operator="containsText" text="需要适配"/>
    <x:cfRule type="containsText" dxfId="157" priority="45" operator="containsText" text="直接继承修复"/>
    <x:cfRule type="containsText" dxfId="158" priority="46" operator="containsText" text="不受影响"/>
  </x:conditionalFormatting>
  <x:conditionalFormatting sqref="N9:N49">
    <x:cfRule type="containsText" dxfId="166" priority="47" operator="containsText" text="需要适配"/>
    <x:cfRule type="containsText" dxfId="167" priority="48" operator="containsText" text="直接继承修复"/>
    <x:cfRule type="containsText" dxfId="168" priority="49" operator="containsText" text="不受影响"/>
  </x:conditionalFormatting>
  <x:conditionalFormatting sqref="N9:N27">
    <x:cfRule type="containsText" dxfId="176" priority="50" operator="containsText" text="需要适配"/>
    <x:cfRule type="containsText" dxfId="177" priority="51" operator="containsText" text="直接继承修复"/>
    <x:cfRule type="containsText" dxfId="178" priority="52" operator="containsText" text="不受影响"/>
  </x:conditionalFormatting>
  <x:conditionalFormatting sqref="N9:N22">
    <x:cfRule type="containsText" dxfId="186" priority="53" operator="containsText" text="需要适配"/>
    <x:cfRule type="containsText" dxfId="187" priority="54" operator="containsText" text="直接继承修复"/>
    <x:cfRule type="containsText" dxfId="188" priority="55" operator="containsText" text="不受影响"/>
  </x:conditionalFormatting>
  <x:conditionalFormatting sqref="N9:N36">
    <x:cfRule type="containsText" dxfId="206" priority="56" operator="containsText" text="需要适配"/>
    <x:cfRule type="containsText" dxfId="207" priority="57" operator="containsText" text="直接继承修复"/>
    <x:cfRule type="containsText" dxfId="208" priority="58" operator="containsText" text="不受影响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24" hidden="0" customWidth="1"/>
    <x:col min="5" max="5" width="42" hidden="0" customWidth="1"/>
    <x:col min="6" max="6" width="44" hidden="0" customWidth="1"/>
    <x:col min="7" max="7" width="44" hidden="0" customWidth="1"/>
    <x:col min="8" max="8" width="18" hidden="0" customWidth="1"/>
    <x:col min="9" max="9" width="42" hidden="0" customWidth="1"/>
    <x:col min="10" max="10" width="28" hidden="0" customWidth="1"/>
  </x:cols>
  <x:sheetData>
    <x:row r="1" ht="34" customHeight="1">
      <x:c r="A1" s="1987" t="str">
        <x:v>vLLM 区间全部已合入 PR 分析</x:v>
      </x:c>
      <x:c r="B1" s="1987"/>
      <x:c r="C1" s="1987"/>
      <x:c r="D1" s="1987"/>
      <x:c r="E1" s="1987"/>
      <x:c r="F1" s="1987"/>
      <x:c r="G1" s="1987"/>
      <x:c r="H1" s="1987"/>
      <x:c r="I1" s="1987"/>
      <x:c r="J1" s="1987"/>
    </x:row>
    <x:row r="2" ht="42" customHeight="1">
      <x:c r="A2" s="1988" t="str">
        <x:v>时间窗：[2026-09-22 01:00:58.960, 2026-09-23 01:01:54.707) Asia/Hong_Kong；共52条。问题、方案和修改原因基于PR正文、diff与Review证据，按GraphQL mergedAt排序。</x:v>
      </x:c>
      <x:c r="B2" s="1988"/>
      <x:c r="C2" s="1988"/>
      <x:c r="D2" s="1988"/>
      <x:c r="E2" s="1988"/>
      <x:c r="F2" s="1988"/>
      <x:c r="G2" s="1988"/>
      <x:c r="H2" s="1988"/>
      <x:c r="I2" s="1988"/>
      <x:c r="J2" s="1988"/>
    </x:row>
    <x:row r="4" ht="46" customHeight="1">
      <x:c r="A4" s="1989" t="str">
        <x:v>PR</x:v>
      </x:c>
      <x:c r="B4" s="1989" t="str">
        <x:v>合入时间</x:v>
      </x:c>
      <x:c r="C4" s="1989" t="str">
        <x:v>PR标题</x:v>
      </x:c>
      <x:c r="D4" s="1989" t="str">
        <x:v>标签/类型</x:v>
      </x:c>
      <x:c r="E4" s="1989" t="str">
        <x:v>解决什么问题</x:v>
      </x:c>
      <x:c r="F4" s="1989" t="str">
        <x:v>解决方案</x:v>
      </x:c>
      <x:c r="G4" s="1989" t="str">
        <x:v>为什么这么修改</x:v>
      </x:c>
      <x:c r="H4" s="1989" t="str">
        <x:v>是否为Bugfix</x:v>
      </x:c>
      <x:c r="I4" s="1989" t="str">
        <x:v>关键文件</x:v>
      </x:c>
      <x:c r="J4" s="1989" t="str">
        <x:v>PR证据</x:v>
      </x:c>
    </x:row>
    <x:row r="5" ht="70" customHeight="1">
      <x:c r="A5" s="1985" t="str">
        <x:v>#57910</x:v>
      </x:c>
      <x:c r="B5" s="1990" t="n">
        <x:v>46287.05241898148</x:v>
      </x:c>
      <x:c r="C5" s="1985" t="str">
        <x:v>[Docs] Add an Engram feature page explaining Engram usage in vLLM</x:v>
      </x:c>
      <x:c r="D5" s="1985" t="str">
        <x:v>documentation; ready; build-docs</x:v>
      </x:c>
      <x:c r="E5" s="1983" t="str">
        <x:v>Engram使用与存储机制缺少集中说明。</x:v>
      </x:c>
      <x:c r="F5" s="1983" t="str">
        <x:v>新增Engram文档和目录入口。</x:v>
      </x:c>
      <x:c r="G5" s="1983" t="str">
        <x:v>说明配置、共享与卸载边界；无运行时修改。</x:v>
      </x:c>
      <x:c r="H5" s="1985" t="str">
        <x:v>否</x:v>
      </x:c>
      <x:c r="I5" s="1983" t="str">
        <x:v>docs/features/engram.md</x:v>
      </x:c>
      <x:c r="J5" s="1983" t="str">
        <x:v>https://github.com/vllm-project/vllm/pull/57910</x:v>
      </x:c>
    </x:row>
    <x:row r="6" ht="70" customHeight="1">
      <x:c r="A6" s="1950" t="str">
        <x:v>#54185</x:v>
      </x:c>
      <x:c r="B6" s="1991" t="n">
        <x:v>46287.05412037037</x:v>
      </x:c>
      <x:c r="C6" s="1950" t="str">
        <x:v>[ROCm][Perf] Route the fused shared-expert gate GEMM through the platform dispatcher</x:v>
      </x:c>
      <x:c r="D6" s="1950" t="str">
        <x:v>rocm; ready</x:v>
      </x:c>
      <x:c r="E6" s="1952" t="str">
        <x:v>ROCm共享专家融合gate仍调用普通F.linear，未使用已有小矩阵优化分派。</x:v>
      </x:c>
      <x:c r="F6" s="1952" t="str">
        <x:v>MoERunner的组合gate GEMM改经dispatch_unquantized_gemm。</x:v>
      </x:c>
      <x:c r="G6" s="1952" t="str">
        <x:v>复用平台选核而非新增数学路径；收益随并发变化。</x:v>
      </x:c>
      <x:c r="H6" s="1950" t="str">
        <x:v>否</x:v>
      </x:c>
      <x:c r="I6" s="1952" t="str">
        <x:v>vllm/model_executor/layers/fused_moe/runner/moe_runner.py</x:v>
      </x:c>
      <x:c r="J6" s="1952" t="str">
        <x:v>https://github.com/vllm-project/vllm/pull/54185</x:v>
      </x:c>
    </x:row>
    <x:row r="7" ht="70" customHeight="1">
      <x:c r="A7" s="1985" t="str">
        <x:v>#57937</x:v>
      </x:c>
      <x:c r="B7" s="1990" t="n">
        <x:v>46287.09446759259</x:v>
      </x:c>
      <x:c r="C7" s="1985" t="str">
        <x:v>[Engram] Drop redundant VLLM_PLE_CPU_OFFLOAD env var</x:v>
      </x:c>
      <x:c r="D7" s="1985" t="str"/>
      <x:c r="E7" s="1983" t="str">
        <x:v>Engram CPU offload存在环境变量与显式配置两个入口。</x:v>
      </x:c>
      <x:c r="F7" s="1983" t="str">
        <x:v>移除VLLM_PLE_CPU_OFFLOAD，cpu_offload固定默认True，显式EngramConfig继续生效。</x:v>
      </x:c>
      <x:c r="G7" s="1983" t="str">
        <x:v>收敛配置事实源；旧环境变量设0不再关闭卸载。</x:v>
      </x:c>
      <x:c r="H7" s="1985" t="str">
        <x:v>否</x:v>
      </x:c>
      <x:c r="I7" s="1983" t="str">
        <x:v>vllm/config/engram.py; vllm/envs.py; tests/test_config.py</x:v>
      </x:c>
      <x:c r="J7" s="1983" t="str">
        <x:v>https://github.com/vllm-project/vllm/pull/57937</x:v>
      </x:c>
    </x:row>
    <x:row r="8" ht="79.5" customHeight="1">
      <x:c r="A8" s="1950" t="str">
        <x:v>#57867</x:v>
      </x:c>
      <x:c r="B8" s="1991" t="n">
        <x:v>46287.18651620371</x:v>
      </x:c>
      <x:c r="C8" s="1950" t="str">
        <x:v>[Bugfix][MoE] Reject hash routing for unsupported monolithic backends</x:v>
      </x:c>
      <x:c r="D8" s="1950" t="str">
        <x:v>bug</x:v>
      </x:c>
      <x:c r="E8" s="1952" t="str">
        <x:v>不支持token/hash输入的monolithic MoE后端可被hash routing模型选中。</x:v>
      </x:c>
      <x:c r="F8" s="1952" t="str">
        <x:v>FusedMoEConfig增加has_hash_routing，通用能力检查拒绝hash与monolithic组合。</x:v>
      </x:c>
      <x:c r="G8" s="1952" t="str">
        <x:v>提前拒绝不支持协议，保留支持hash的modular路径。</x:v>
      </x:c>
      <x:c r="H8" s="1950" t="str">
        <x:v>是</x:v>
      </x:c>
      <x:c r="I8" s="1952" t="str">
        <x:v>vllm/model_executor/layers/fused_moe/config.py; vllm/model_executor/layers/fused_moe/layer.py; vllm/model_executor/layers/fused_moe/modular_kernel.py; tests/kernels/moe/conftest.py; tests/kernels/moe/test_topk_softplus_sqrt.py</x:v>
      </x:c>
      <x:c r="J8" s="1952" t="str">
        <x:v>https://github.com/vllm-project/vllm/pull/57867</x:v>
      </x:c>
    </x:row>
    <x:row r="9" ht="70" customHeight="1">
      <x:c r="A9" s="1985" t="str">
        <x:v>#57866</x:v>
      </x:c>
      <x:c r="B9" s="1990" t="n">
        <x:v>46287.18775462963</x:v>
      </x:c>
      <x:c r="C9" s="1985" t="str">
        <x:v>[Bugfix][ROCm] Reject unsupported EP for monolithic AITER MXFP4 MoE</x:v>
      </x:c>
      <x:c r="D9" s="1985" t="str">
        <x:v>bug; rocm; ready</x:v>
      </x:c>
      <x:c r="E9" s="1983" t="str">
        <x:v>AITER MXFP4 monolithic MoE在EP下错误使用全局专家数。</x:v>
      </x:c>
      <x:c r="F9" s="1983" t="str">
        <x:v>W4A16/W4A8能力门禁由all2all条件改为禁止use_ep。</x:v>
      </x:c>
      <x:c r="G9" s="1983" t="str">
        <x:v>EP分片专家与内核全局路由协议不匹配，需回退兼容实现。</x:v>
      </x:c>
      <x:c r="H9" s="1985" t="str">
        <x:v>是</x:v>
      </x:c>
      <x:c r="I9" s="1983" t="str">
        <x:v>vllm/model_executor/layers/fused_moe/experts/aiter_mxfp4_w4a16_moe.py; vllm/model_executor/layers/fused_moe/experts/aiter_mxfp4_w4a8_moe.py; tests/kernels/moe/test_ocp_mx_moe.py</x:v>
      </x:c>
      <x:c r="J9" s="1983" t="str">
        <x:v>https://github.com/vllm-project/vllm/pull/57866</x:v>
      </x:c>
    </x:row>
    <x:row r="10" ht="70" customHeight="1">
      <x:c r="A10" s="1950" t="str">
        <x:v>#55608</x:v>
      </x:c>
      <x:c r="B10" s="1991" t="n">
        <x:v>46287.19461805555</x:v>
      </x:c>
      <x:c r="C10" s="1950" t="str">
        <x:v>[Docker] Use zstd for CI images and offer a Docker Hub variant</x:v>
      </x:c>
      <x:c r="D10" s="1950" t="str">
        <x:v>rocm; ready; ci/build; kv-connector</x:v>
      </x:c>
      <x:c r="E10" s="1952" t="str">
        <x:v>CUDA CI镜像拉取解压影响启动，gzip产物偏大。</x:v>
      </x:c>
      <x:c r="F10" s="1952" t="str">
        <x:v>CI ECR镜像使用zstd level3，公共CUDA13 amd64另发-zstd变体且保留gzip。</x:v>
      </x:c>
      <x:c r="G10" s="1952" t="str">
        <x:v>缩短镜像到首次正确响应时间，同时保留旧运行时兼容入口。</x:v>
      </x:c>
      <x:c r="H10" s="1950" t="str">
        <x:v>否</x:v>
      </x:c>
      <x:c r="I10" s="1952" t="str">
        <x:v>.buildkite/image_build/image_build.sh; .buildkite/image_build/zstd.hcl; .buildkite/scripts/publish-release-images.sh; .buildkite/scripts/publish-zstd-image.sh</x:v>
      </x:c>
      <x:c r="J10" s="1952" t="str">
        <x:v>https://github.com/vllm-project/vllm/pull/55608</x:v>
      </x:c>
    </x:row>
    <x:row r="11" ht="79.5" customHeight="1">
      <x:c r="A11" s="1985" t="str">
        <x:v>#50592</x:v>
      </x:c>
      <x:c r="B11" s="1990" t="n">
        <x:v>46287.19771990741</x:v>
      </x:c>
      <x:c r="C11" s="1985" t="str">
        <x:v>[Kimi-K3][AMD] Return KDA and MLA projection outputs directly</x:v>
      </x:c>
      <x:c r="D11" s="1985" t="str">
        <x:v>rocm; ready; kimi; k3</x:v>
      </x:c>
      <x:c r="E11" s="1983" t="str">
        <x:v>Kimi-K3 AMD attention将投影结果复制到预分配output，增加每步搬运。</x:v>
      </x:c>
      <x:c r="F11" s="1983" t="str">
        <x:v>KDA/MLA直接返回投影张量，更新调用方及prefix_delta残差传递。</x:v>
      </x:c>
      <x:c r="G11" s="1983" t="str">
        <x:v>删除无用副本并维持返回值契约；Nvidia共享调用方也需同步。</x:v>
      </x:c>
      <x:c r="H11" s="1985" t="str">
        <x:v>否</x:v>
      </x:c>
      <x:c r="I11" s="1983" t="str">
        <x:v>vllm/model_executor/layers/mamba/gdn/kimi_gdn_linear_attn.py; vllm/models/kimi_k3/amd/kda.py; vllm/models/kimi_k3/amd/linear.py; vllm/models/kimi_k3/nvidia/model.py; tests/models/kimi_k3/test_amd_kda_direct_return.py</x:v>
      </x:c>
      <x:c r="J11" s="1983" t="str">
        <x:v>https://github.com/vllm-project/vllm/pull/50592</x:v>
      </x:c>
    </x:row>
    <x:row r="12" ht="70" customHeight="1">
      <x:c r="A12" s="1950" t="str">
        <x:v>#57871</x:v>
      </x:c>
      <x:c r="B12" s="1991" t="n">
        <x:v>46287.271006944444</x:v>
      </x:c>
      <x:c r="C12" s="1950" t="str">
        <x:v>[CI][Build] Harden triton-cpu sleef submodule fetch in CPU image build</x:v>
      </x:c>
      <x:c r="D12" s="1950" t="str">
        <x:v>ci/build; cpu</x:v>
      </x:c>
      <x:c r="E12" s="1952" t="str">
        <x:v>CPU镜像triton-cpu浅克隆偶发缺失sleef子模块，CMake失败。</x:v>
      </x:c>
      <x:c r="F12" s="1952" t="str">
        <x:v>检查CMakeLists，缺失则完整重取子模块，仍缺失时明确失败。</x:v>
      </x:c>
      <x:c r="G12" s="1952" t="str">
        <x:v>把网络残缺检出与编译失败区分，避免含糊错误。</x:v>
      </x:c>
      <x:c r="H12" s="1950" t="str">
        <x:v>是</x:v>
      </x:c>
      <x:c r="I12" s="1952" t="str">
        <x:v>docker/Dockerfile.cpu</x:v>
      </x:c>
      <x:c r="J12" s="1952" t="str">
        <x:v>https://github.com/vllm-project/vllm/pull/57871</x:v>
      </x:c>
    </x:row>
    <x:row r="13" ht="70" customHeight="1">
      <x:c r="A13" s="1985" t="str">
        <x:v>#57984</x:v>
      </x:c>
      <x:c r="B13" s="1990" t="n">
        <x:v>46287.27684027778</x:v>
      </x:c>
      <x:c r="C13" s="1985" t="str">
        <x:v>[Bugfix][Kernel] Skip the fused silu-mul block-quant fast path when a swiglu clamp is set</x:v>
      </x:c>
      <x:c r="D13" s="1985" t="str">
        <x:v>bug; ready; stale; quantization; verified</x:v>
      </x:c>
      <x:c r="E13" s="1983" t="str">
        <x:v>Triton block FP8融合SiLU量化忽略SwiGLU clamp，输出错误。</x:v>
      </x:c>
      <x:c r="F13" s="1983" t="str">
        <x:v>仅clamp_limit为空才用融合快路径，其他走已有clamp实现。</x:v>
      </x:c>
      <x:c r="G13" s="1983" t="str">
        <x:v>融合内核无clamp参数，不能静默丢失模型数学语义。</x:v>
      </x:c>
      <x:c r="H13" s="1985" t="str">
        <x:v>是</x:v>
      </x:c>
      <x:c r="I13" s="1983" t="str">
        <x:v>vllm/model_executor/layers/fused_moe/experts/triton_moe.py; tests/kernels/moe/test_block_fp8.py</x:v>
      </x:c>
      <x:c r="J13" s="1983" t="str">
        <x:v>https://github.com/vllm-project/vllm/pull/57984</x:v>
      </x:c>
    </x:row>
    <x:row r="14" ht="70" customHeight="1">
      <x:c r="A14" s="1950" t="str">
        <x:v>#51360</x:v>
      </x:c>
      <x:c r="B14" s="1991" t="n">
        <x:v>46287.30474537037</x:v>
      </x:c>
      <x:c r="C14" s="1950" t="str">
        <x:v>[Frontend] Add reusable TP1 initialized-engine snapshots</x:v>
      </x:c>
      <x:c r="D14" s="1950" t="str">
        <x:v>documentation; frontend; ready; ci/build; deepseek; kv-connector; nvidia; DSv4</x:v>
      </x:c>
      <x:c r="E14" s="1952" t="str">
        <x:v>完整进程退出后重新初始化模型耗时长。</x:v>
      </x:c>
      <x:c r="F14" s="1952" t="str">
        <x:v>新增同机TP1初始化快照，level2释放设备状态后用CRIU/CUDA恢复，再用确定性token oracle验收。</x:v>
      </x:c>
      <x:c r="G14" s="1952" t="str">
        <x:v>复用初始化状态以缩短激活；限制Linux x86_64单Nvidia卡同机同环境，非通用跨平台快照。</x:v>
      </x:c>
      <x:c r="H14" s="1950" t="str">
        <x:v>否</x:v>
      </x:c>
      <x:c r="I14" s="1952" t="str">
        <x:v>vllm/entrypoints/cli/main.py; vllm/entrypoints/cli/snapshot.py; vllm/snapshot/__init__.py; vllm/snapshot/controller.py; vllm/snapshot/manifest.py</x:v>
      </x:c>
      <x:c r="J14" s="1952" t="str">
        <x:v>https://github.com/vllm-project/vllm/pull/51360</x:v>
      </x:c>
    </x:row>
    <x:row r="15" ht="70" customHeight="1">
      <x:c r="A15" s="1985" t="str">
        <x:v>#57737</x:v>
      </x:c>
      <x:c r="B15" s="1990" t="n">
        <x:v>46287.32983796296</x:v>
      </x:c>
      <x:c r="C15" s="1985" t="str">
        <x:v>[Pooling] MRV2 pooling shutdown model ref</x:v>
      </x:c>
      <x:c r="D15" s="1985" t="str">
        <x:v>ready; mrv2</x:v>
      </x:c>
      <x:c r="E15" s="1983" t="str">
        <x:v>MRV2 shutdown后PoolingRunner仍引用模型，设备内存未释放。</x:v>
      </x:c>
      <x:c r="F15" s="1983" t="str">
        <x:v>GPUModelRunner.shutdown清空pooling_runner。</x:v>
      </x:c>
      <x:c r="G15" s="1983" t="str">
        <x:v>解除最后引用而不改推理数学；需区分shutdown后存活对象与析构。</x:v>
      </x:c>
      <x:c r="H15" s="1985" t="str">
        <x:v>是</x:v>
      </x:c>
      <x:c r="I15" s="1983" t="str">
        <x:v>vllm/v1/worker/gpu/model_runner.py</x:v>
      </x:c>
      <x:c r="J15" s="1983" t="str">
        <x:v>https://github.com/vllm-project/vllm/pull/57737</x:v>
      </x:c>
    </x:row>
    <x:row r="16" ht="93" customHeight="1">
      <x:c r="A16" s="1950" t="str">
        <x:v>#57965</x:v>
      </x:c>
      <x:c r="B16" s="1991" t="n">
        <x:v>46287.34673611111</x:v>
      </x:c>
      <x:c r="C16" s="1950" t="str">
        <x:v>[CI] Split (H200) LM Eval Large Models into per-model jobs</x:v>
      </x:c>
      <x:c r="D16" s="1950" t="str">
        <x:v>ci/build</x:v>
      </x:c>
      <x:c r="E16" s="1952" t="str">
        <x:v>六项大模型评测串行占用一个长H200 job，重试代价大。</x:v>
      </x:c>
      <x:c r="F16" s="1952" t="str">
        <x:v>拆为五个具名job，六个配置各覆盖一次，AMD维持独立原job。</x:v>
      </x:c>
      <x:c r="G16" s="1952" t="str">
        <x:v>缩短关键路径并隔离失败，但并发峰值需40卡且总资源成本上升。</x:v>
      </x:c>
      <x:c r="H16" s="1950" t="str">
        <x:v>否</x:v>
      </x:c>
      <x:c r="I16" s="1952" t="str">
        <x:v>.buildkite/test_areas/lm_eval.yaml; tests/evals/gsm8k/configs/models-h200-deepseek-r1-dp.txt; tests/evals/gsm8k/configs/models-h200-deepseek-r1-tp.txt; tests/evals/gsm8k/configs/models-h200-deepseek-v32-dp.txt; tests/evals/gsm8k/configs/models-h200-deepseek-v32-tp.txt</x:v>
      </x:c>
      <x:c r="J16" s="1952" t="str">
        <x:v>https://github.com/vllm-project/vllm/pull/57965</x:v>
      </x:c>
    </x:row>
    <x:row r="17" ht="79.5" customHeight="1">
      <x:c r="A17" s="1985" t="str">
        <x:v>#57951</x:v>
      </x:c>
      <x:c r="B17" s="1990" t="n">
        <x:v>46287.34701388889</x:v>
      </x:c>
      <x:c r="C17" s="1985" t="str">
        <x:v>[Scheduler] Soften Long Prefill Tokens Threshhold</x:v>
      </x:c>
      <x:c r="D17" s="1985" t="str">
        <x:v>ready; scheduler</x:v>
      </x:c>
      <x:c r="E17" s="1983" t="str">
        <x:v>单独一个长prefill仍受单请求阈值切块，空耗剩余token预算。</x:v>
      </x:c>
      <x:c r="F17" s="1983" t="str">
        <x:v>每次schedule按running/waiting/skipped_waiting总数决定是否启用阈值，覆盖运行与等待队列。</x:v>
      </x:c>
      <x:c r="G17" s="1983" t="str">
        <x:v>无人竞争时放宽公平性限制；多请求继续保持公平。</x:v>
      </x:c>
      <x:c r="H17" s="1985" t="str">
        <x:v>否</x:v>
      </x:c>
      <x:c r="I17" s="1983" t="str">
        <x:v>vllm/config/scheduler.py; vllm/v1/core/sched/scheduler.py; tests/v1/core/test_deferred_block_free.py; tests/v1/core/test_scheduler.py; tests/v1/e2e/general/test_pooling_chunked_prefill.py</x:v>
      </x:c>
      <x:c r="J17" s="1983" t="str">
        <x:v>https://github.com/vllm-project/vllm/pull/57951</x:v>
      </x:c>
    </x:row>
    <x:row r="18" ht="93" customHeight="1">
      <x:c r="A18" s="1950" t="str">
        <x:v>#57458</x:v>
      </x:c>
      <x:c r="B18" s="1991" t="n">
        <x:v>46287.35030092593</x:v>
      </x:c>
      <x:c r="C18" s="1950" t="str">
        <x:v>[Perf][Attention] Reduce GLM sparse MLA preparation overhead</x:v>
      </x:c>
      <x:c r="D18" s="1950" t="str">
        <x:v>ready; nvidia; glm</x:v>
      </x:c>
      <x:c r="E18" s="1952" t="str">
        <x:v>GLM NoPE sparse MLA预处理有无用cat、填充和计数开销。</x:v>
      </x:c>
      <x:c r="F18" s="1952" t="str">
        <x:v>连续且rope尾为空时复用query；小容量remap单tile融合填充计数；按DCP/HiSparse需要处理空query。</x:v>
      </x:c>
      <x:c r="G18" s="1952" t="str">
        <x:v>减少launch和中间写入，同时保留空行LSE/NaN及大容量回退语义。</x:v>
      </x:c>
      <x:c r="H18" s="1950" t="str">
        <x:v>否</x:v>
      </x:c>
      <x:c r="I18" s="1952" t="str">
        <x:v>vllm/model_executor/layers/attention/mla_attention.py; vllm/v1/attention/backends/mla/flashinfer_mla_sparse.py; vllm/v1/attention/backends/mla/sparse_utils.py; tests/kernels/attention/test_flashinfer_mla_decode.py; tests/kernels/test_concat_mla_q.py</x:v>
      </x:c>
      <x:c r="J18" s="1952" t="str">
        <x:v>https://github.com/vllm-project/vllm/pull/57458</x:v>
      </x:c>
    </x:row>
    <x:row r="19" ht="70" customHeight="1">
      <x:c r="A19" s="1985" t="str">
        <x:v>#55390</x:v>
      </x:c>
      <x:c r="B19" s="1990" t="n">
        <x:v>46287.355162037034</x:v>
      </x:c>
      <x:c r="C19" s="1985" t="str">
        <x:v>[Bugfix] Annotate MTP draft KV cache groups positionally on the hybrid grouping path</x:v>
      </x:c>
      <x:c r="D19" s="1985" t="str">
        <x:v>bug; ready; verified; kv-cache-manager</x:v>
      </x:c>
      <x:c r="E19" s="1983" t="str">
        <x:v>混合Attention/Mamba MTP通用分组漏标draft，外部卸载未保护易变尾块。</x:v>
      </x:c>
      <x:c r="F19" s="1983" t="str">
        <x:v>packed和general路径采用末层定位并检查分组恰好覆盖所有层，替换注解函数关键字。</x:v>
      </x:c>
      <x:c r="G19" s="1983" t="str">
        <x:v>让MTP draft组获得volatile尾块处理；跨多组draft只标末组仍有限制。</x:v>
      </x:c>
      <x:c r="H19" s="1985" t="str">
        <x:v>是</x:v>
      </x:c>
      <x:c r="I19" s="1983" t="str">
        <x:v>vllm/v1/core/kv_cache_utils.py; tests/v1/core/test_kv_cache_utils.py</x:v>
      </x:c>
      <x:c r="J19" s="1983" t="str">
        <x:v>https://github.com/vllm-project/vllm/pull/55390</x:v>
      </x:c>
    </x:row>
    <x:row r="20" ht="70" customHeight="1">
      <x:c r="A20" s="1950" t="str">
        <x:v>#51565</x:v>
      </x:c>
      <x:c r="B20" s="1991" t="n">
        <x:v>46287.38321759259</x:v>
      </x:c>
      <x:c r="C20" s="1950" t="str">
        <x:v>[Bugfix][GDN] Fix stateless first-chunk classification</x:v>
      </x:c>
      <x:c r="D20" s="1950" t="str">
        <x:v>bug; ready</x:v>
      </x:c>
      <x:c r="E20" s="1952" t="str">
        <x:v>GDN无历史状态的一token首块被当decode，读到回收页旧状态。</x:v>
      </x:c>
      <x:c r="F20" s="1952" t="str">
        <x:v>结合seq/query长度与is_prefilling区分首块、续块、capture dummy，修正padding计数。</x:v>
      </x:c>
      <x:c r="G20" s="1952" t="str">
        <x:v>单token形状不代表有状态；保留续块和图dummy的decode行为。</x:v>
      </x:c>
      <x:c r="H20" s="1950" t="str">
        <x:v>是</x:v>
      </x:c>
      <x:c r="I20" s="1952" t="str">
        <x:v>vllm/v1/attention/backends/gdn_attn.py; tests/v1/attention/test_gdn_metadata_builder.py</x:v>
      </x:c>
      <x:c r="J20" s="1952" t="str">
        <x:v>https://github.com/vllm-project/vllm/pull/51565</x:v>
      </x:c>
    </x:row>
    <x:row r="21" ht="70" customHeight="1">
      <x:c r="A21" s="1985" t="str">
        <x:v>#54867</x:v>
      </x:c>
      <x:c r="B21" s="1990" t="n">
        <x:v>46287.40053240741</x:v>
      </x:c>
      <x:c r="C21" s="1985" t="str">
        <x:v>[CI] Add pre-commit check that new tests are tethered to Buildkite jobs</x:v>
      </x:c>
      <x:c r="D21" s="1985" t="str">
        <x:v>ready; ci/build; cpu</x:v>
      </x:c>
      <x:c r="E21" s="1983" t="str">
        <x:v>新增测试文件能够合入却不被任何Buildkite job执行。</x:v>
      </x:c>
      <x:c r="F21" s="1983" t="str">
        <x:v>pre-commit解析CI命令、wrapper及白名单，检查测试与job连接。</x:v>
      </x:c>
      <x:c r="G21" s="1983" t="str">
        <x:v>防止测试覆盖成为空声明；这是质量门禁而非推理性能优化。</x:v>
      </x:c>
      <x:c r="H21" s="1985" t="str">
        <x:v>否</x:v>
      </x:c>
      <x:c r="I21" s="1983" t="str">
        <x:v>.buildkite/test_areas/misc.yaml; .pre-commit-config.yaml; docker/Dockerfile.cpu; tests/tools/test_check_test_tethering.py; tools/__init__.py</x:v>
      </x:c>
      <x:c r="J21" s="1983" t="str">
        <x:v>https://github.com/vllm-project/vllm/pull/54867</x:v>
      </x:c>
    </x:row>
    <x:row r="22" ht="70" customHeight="1">
      <x:c r="A22" s="1950" t="str">
        <x:v>#49685</x:v>
      </x:c>
      <x:c r="B22" s="1991" t="n">
        <x:v>46287.420439814814</x:v>
      </x:c>
      <x:c r="C22" s="1950" t="str">
        <x:v>[XPU] Fix Nemotron FP8 LM-eval config: drop CUDA-only moe_backend and wire to new Buildkite job</x:v>
      </x:c>
      <x:c r="D22" s="1950" t="str">
        <x:v>intel-gpu; ci/build; nvidia</x:v>
      </x:c>
      <x:c r="E22" s="1952" t="str">
        <x:v>Nemotron FP8评测配置指定CUDA-only MoE后端导致XPU失败。</x:v>
      </x:c>
      <x:c r="F22" s="1952" t="str">
        <x:v>新建XPU配置去掉flashinfer_cutlass并连接Intel CI job。</x:v>
      </x:c>
      <x:c r="G22" s="1952" t="str">
        <x:v>按平台选择后端，不复用不兼容CUDA覆盖值。</x:v>
      </x:c>
      <x:c r="H22" s="1950" t="str">
        <x:v>是</x:v>
      </x:c>
      <x:c r="I22" s="1952" t="str">
        <x:v>.buildkite/intel_jobs/lm_eval_intel.yaml; .buildkite/lm-eval-harness/configs/NVIDIA-Nemotron-3-Nano-30B-A3B-FP8-xpu.yaml; .buildkite/lm-eval-harness/configs/models-large-xpu-fp8.txt</x:v>
      </x:c>
      <x:c r="J22" s="1952" t="str">
        <x:v>https://github.com/vllm-project/vllm/pull/49685</x:v>
      </x:c>
    </x:row>
    <x:row r="23" ht="70" customHeight="1">
      <x:c r="A23" s="1985" t="str">
        <x:v>#57606</x:v>
      </x:c>
      <x:c r="B23" s="1990" t="n">
        <x:v>46287.46046296296</x:v>
      </x:c>
      <x:c r="C23" s="1985" t="str">
        <x:v>[Docker] Expose bundled vllm-rs on PATH</x:v>
      </x:c>
      <x:c r="D23" s="1985" t="str">
        <x:v>documentation; ready; ci/build; rust</x:v>
      </x:c>
      <x:c r="E23" s="1983" t="str">
        <x:v>CUDA镜像已带vllm-rs二进制但PATH找不到，entrypoint退出127。</x:v>
      </x:c>
      <x:c r="F23" s="1983" t="str">
        <x:v>从sysconfig包路径创建/usr/local/bin链接并构建时运行help。</x:v>
      </x:c>
      <x:c r="G23" s="1983" t="str">
        <x:v>修复打包可发现性，保留默认Python入口。</x:v>
      </x:c>
      <x:c r="H23" s="1985" t="str">
        <x:v>是</x:v>
      </x:c>
      <x:c r="I23" s="1983" t="str">
        <x:v>docker/Dockerfile</x:v>
      </x:c>
      <x:c r="J23" s="1983" t="str">
        <x:v>https://github.com/vllm-project/vllm/pull/57606</x:v>
      </x:c>
    </x:row>
    <x:row r="24" ht="93" customHeight="1">
      <x:c r="A24" s="1950" t="str">
        <x:v>#57312</x:v>
      </x:c>
      <x:c r="B24" s="1991" t="n">
        <x:v>46287.4678125</x:v>
      </x:c>
      <x:c r="C24" s="1950" t="str">
        <x:v>[Fast Start] Cache the MTP draft model in a separate daemon group</x:v>
      </x:c>
      <x:c r="D24" s="1950" t="str">
        <x:v>speculative-decoding; ready; qwen; mrv2; dflash</x:v>
      </x:c>
      <x:c r="E24" s="1952" t="str">
        <x:v>IPC权重缓存把draft送入target daemon或重读磁盘。</x:v>
      </x:c>
      <x:c r="F24" s="1952" t="str">
        <x:v>独立draft daemon、socket及缓存key，导出加载属性；最终代码支持mtp/eagle/eagle3，其余回退磁盘。</x:v>
      </x:c>
      <x:c r="G24" s="1952" t="str">
        <x:v>模型角色和指纹必须隔离；正文MTP-only描述落后于最终diff。</x:v>
      </x:c>
      <x:c r="H24" s="1950" t="str">
        <x:v>是</x:v>
      </x:c>
      <x:c r="I24" s="1952" t="str">
        <x:v>vllm/config/speculative.py; vllm/model_executor/model_loader/utils.py; vllm/model_executor/model_loader/weight_cache/__init__.py; vllm/model_executor/model_loader/weight_cache/daemon.py; vllm/model_executor/model_loader/weight_cache/ipc_loader.py</x:v>
      </x:c>
      <x:c r="J24" s="1952" t="str">
        <x:v>https://github.com/vllm-project/vllm/pull/57312</x:v>
      </x:c>
    </x:row>
    <x:row r="25" ht="79.5" customHeight="1">
      <x:c r="A25" s="1985" t="str">
        <x:v>#57933</x:v>
      </x:c>
      <x:c r="B25" s="1990" t="n">
        <x:v>46287.51886574074</x:v>
      </x:c>
      <x:c r="C25" s="1985" t="str">
        <x:v>[Rust Frontend] Add MiMo V2.6 parser support</x:v>
      </x:c>
      <x:c r="D25" s="1985" t="str">
        <x:v>ready; rust</x:v>
      </x:c>
      <x:c r="E25" s="1983" t="str">
        <x:v>Rust前端缺MiMo裸reasoning分隔和function/parameter工具协议。</x:v>
      </x:c>
      <x:c r="F25" s="1983" t="str">
        <x:v>增加MiMo选择、空白保留、None按schema转换及主模板发现修复。</x:v>
      </x:c>
      <x:c r="G25" s="1983" t="str">
        <x:v>以真实模板验证流式往返，不把其他Qwen JSON语法直接套入。</x:v>
      </x:c>
      <x:c r="H25" s="1985" t="str">
        <x:v>是</x:v>
      </x:c>
      <x:c r="I25" s="1983" t="str">
        <x:v>rust/src/chat/src/lib.rs; rust/src/chat/src/output/default/structural_tag.rs; rust/src/chat/src/parser/reasoning/mod.rs; rust/src/chat/src/parser/tool/mod.rs; rust/src/chat/src/parser/tool/tests.rs</x:v>
      </x:c>
      <x:c r="J25" s="1983" t="str">
        <x:v>https://github.com/vllm-project/vllm/pull/57933</x:v>
      </x:c>
    </x:row>
    <x:row r="26" ht="70" customHeight="1">
      <x:c r="A26" s="1950" t="str">
        <x:v>#56448</x:v>
      </x:c>
      <x:c r="B26" s="1991" t="n">
        <x:v>46287.52537037037</x:v>
      </x:c>
      <x:c r="C26" s="1950" t="str">
        <x:v>[Bugfix][Spec Decode] Cap DFlash/DSpark profiling query batch</x:v>
      </x:c>
      <x:c r="D26" s="1950" t="str">
        <x:v>bug; speculative-decoding; ready; nvidia; mrv2; verified; dflash</x:v>
      </x:c>
      <x:c r="E26" s="1952" t="str">
        <x:v>DFlash/DSpark profiling按max_num_seqs造批，query行数可超buffer。</x:v>
      </x:c>
      <x:c r="F26" s="1952" t="str">
        <x:v>MRV2初始dummy请求数按max_num_tokens/num_query_per_req截断，speculator提供默认宽度。</x:v>
      </x:c>
      <x:c r="G26" s="1952" t="str">
        <x:v>synthetic批绕过调度预算，须自行限制；最终diff比正文描述的完整hook方案窄。</x:v>
      </x:c>
      <x:c r="H26" s="1950" t="str">
        <x:v>是</x:v>
      </x:c>
      <x:c r="I26" s="1952" t="str">
        <x:v>vllm/v1/worker/gpu/model_runner.py; vllm/v1/worker/gpu/spec_decode/speculator.py; tests/v1/spec_decode/test_dflash_profile.py</x:v>
      </x:c>
      <x:c r="J26" s="1952" t="str">
        <x:v>https://github.com/vllm-project/vllm/pull/56448</x:v>
      </x:c>
    </x:row>
    <x:row r="27" ht="70" customHeight="1">
      <x:c r="A27" s="1985" t="str">
        <x:v>#57891</x:v>
      </x:c>
      <x:c r="B27" s="1990" t="n">
        <x:v>46287.52564814815</x:v>
      </x:c>
      <x:c r="C27" s="1985" t="str">
        <x:v>[RL][Sleep] Retain frozen weights across level-2 sleep</x:v>
      </x:c>
      <x:c r="D27" s="1985" t="str">
        <x:v>documentation; ready</x:v>
      </x:c>
      <x:c r="E27" s="1983" t="str">
        <x:v>level2 sleep丢弃训练端不再发送的冻结权重，唤醒后失效。</x:v>
      </x:c>
      <x:c r="F27" s="1983" t="str">
        <x:v>新增参数名glob，sleep备份选定设备参数到CPU，weights wake原位恢复并清理备份。</x:v>
      </x:c>
      <x:c r="G27" s="1983" t="str">
        <x:v>冻结参数和buffer不同；须保持storage、限制host容量并由trainer跳过更新。</x:v>
      </x:c>
      <x:c r="H27" s="1985" t="str">
        <x:v>是</x:v>
      </x:c>
      <x:c r="I27" s="1983" t="str">
        <x:v>vllm/config/model.py; vllm/engine/arg_utils.py; vllm/v1/worker/gpu_worker.py; docs/features/sleep_mode.md; tests/v1/worker/test_sleep_mode_backend.py</x:v>
      </x:c>
      <x:c r="J27" s="1983" t="str">
        <x:v>https://github.com/vllm-project/vllm/pull/57891</x:v>
      </x:c>
    </x:row>
    <x:row r="28" ht="70" customHeight="1">
      <x:c r="A28" s="1950" t="str">
        <x:v>#57919</x:v>
      </x:c>
      <x:c r="B28" s="1991" t="n">
        <x:v>46287.531863425924</x:v>
      </x:c>
      <x:c r="C28" s="1950" t="str">
        <x:v>[ROCm][Bugfix] Explicitly reject FSE=1 with DPA+ETP deployment for DeepSeek-V4</x:v>
      </x:c>
      <x:c r="D28" s="1950" t="str">
        <x:v>bug; rocm; ready; deepseek; DSv4</x:v>
      </x:c>
      <x:c r="E28" s="1952" t="str">
        <x:v>ROCm DSV4 DPA+ETP启用融合共享专家会以权重KeyError失败。</x:v>
      </x:c>
      <x:c r="F28" s="1952" t="str">
        <x:v>在模型构造检查非EP且DP&gt;1与FSE组合并给出关闭选项。</x:v>
      </x:c>
      <x:c r="G28" s="1952" t="str">
        <x:v>内核无法将FP8共享专家装入MXFP4 routed slot，提前明确拒绝。</x:v>
      </x:c>
      <x:c r="H28" s="1950" t="str">
        <x:v>是</x:v>
      </x:c>
      <x:c r="I28" s="1952" t="str">
        <x:v>vllm/models/deepseek_v4/amd/model.py; tests/models/test_deepseek_v4_vl_rocm.py</x:v>
      </x:c>
      <x:c r="J28" s="1952" t="str">
        <x:v>https://github.com/vllm-project/vllm/pull/57919</x:v>
      </x:c>
    </x:row>
    <x:row r="29" ht="70" customHeight="1">
      <x:c r="A29" s="1985" t="str">
        <x:v>#58065</x:v>
      </x:c>
      <x:c r="B29" s="1990" t="n">
        <x:v>46287.54565972222</x:v>
      </x:c>
      <x:c r="C29" s="1985" t="str">
        <x:v>[Spec Decode] Enable async scheduling for DFlash</x:v>
      </x:c>
      <x:c r="D29" s="1985" t="str">
        <x:v>dflash</x:v>
      </x:c>
      <x:c r="E29" s="1983" t="str">
        <x:v>DFlash被排除异步调度，CPU调度与decode不能重叠。</x:v>
      </x:c>
      <x:c r="F29" s="1983" t="str">
        <x:v>在显式开关及默认自动开关两处将dflash加入允许列表。</x:v>
      </x:c>
      <x:c r="G29" s="1983" t="str">
        <x:v>MRV2已有通用异步张量路径，仍须按NPU实际runner组合验证。</x:v>
      </x:c>
      <x:c r="H29" s="1985" t="str">
        <x:v>否</x:v>
      </x:c>
      <x:c r="I29" s="1983" t="str">
        <x:v>vllm/config/vllm.py; tests/test_config.py</x:v>
      </x:c>
      <x:c r="J29" s="1983" t="str">
        <x:v>https://github.com/vllm-project/vllm/pull/58065</x:v>
      </x:c>
    </x:row>
    <x:row r="30" ht="70" customHeight="1">
      <x:c r="A30" s="1950" t="str">
        <x:v>#51922</x:v>
      </x:c>
      <x:c r="B30" s="1991" t="n">
        <x:v>46287.547638888886</x:v>
      </x:c>
      <x:c r="C30" s="1950" t="str">
        <x:v>[Rust Frontend] Add mm-processor benchmark</x:v>
      </x:c>
      <x:c r="D30" s="1950" t="str">
        <x:v>performance; ready; rust</x:v>
      </x:c>
      <x:c r="E30" s="1952" t="str">
        <x:v>Rust多模态预处理缺少可重复分阶段时延基准。</x:v>
      </x:c>
      <x:c r="F30" s="1952" t="str">
        <x:v>新增request timing及mm-processor benchmark，支持并发预热和JSON。</x:v>
      </x:c>
      <x:c r="G30" s="1952" t="str">
        <x:v>隔离fetch/预处理/展开开销；当前仍需要headless engine，不是无权重离线工具。</x:v>
      </x:c>
      <x:c r="H30" s="1950" t="str">
        <x:v>否</x:v>
      </x:c>
      <x:c r="I30" s="1952" t="str">
        <x:v>rust/Cargo.lock; rust/src/bench/AGENTS.md; rust/src/bench/Cargo.toml; rust/src/bench/README.md; rust/src/bench/src/lib.rs</x:v>
      </x:c>
      <x:c r="J30" s="1952" t="str">
        <x:v>https://github.com/vllm-project/vllm/pull/51922</x:v>
      </x:c>
    </x:row>
    <x:row r="31" ht="70" customHeight="1">
      <x:c r="A31" s="1985" t="str">
        <x:v>#55269</x:v>
      </x:c>
      <x:c r="B31" s="1990" t="n">
        <x:v>46287.56606481481</x:v>
      </x:c>
      <x:c r="C31" s="1985" t="str">
        <x:v>[Rust Frontend] Introduce parser-owned output grammar interfaces</x:v>
      </x:c>
      <x:c r="D31" s="1985" t="str">
        <x:v>ready; rust; kimi; k3</x:v>
      </x:c>
      <x:c r="E31" s="1983" t="str">
        <x:v>工具grammar在parser获得最终prompt状态前构造，无法支持完整输出语法。</x:v>
      </x:c>
      <x:c r="F31" s="1983" t="str">
        <x:v>新增parser-owned grammar接口，将初始化和grammar构造移至tokenize后；删除旧UnifiedParser接口。</x:v>
      </x:c>
      <x:c r="G31" s="1983" t="str">
        <x:v>按实际初始状态构建语法；初始化失败改为提交前拒绝。</x:v>
      </x:c>
      <x:c r="H31" s="1985" t="str">
        <x:v>否</x:v>
      </x:c>
      <x:c r="I31" s="1983" t="str">
        <x:v>rust/Cargo.lock; rust/src/chat/src/error.rs; rust/src/chat/src/lib.rs; rust/src/chat/src/output/default/mod.rs; rust/src/chat/src/output/default/structural_tag.rs</x:v>
      </x:c>
      <x:c r="J31" s="1983" t="str">
        <x:v>https://github.com/vllm-project/vllm/pull/55269</x:v>
      </x:c>
    </x:row>
    <x:row r="32" ht="70" customHeight="1">
      <x:c r="A32" s="1950" t="str">
        <x:v>#57731</x:v>
      </x:c>
      <x:c r="B32" s="1991" t="n">
        <x:v>46287.57666666667</x:v>
      </x:c>
      <x:c r="C32" s="1950" t="str">
        <x:v>[Security] Reject min_tokens that exceeds the filled max_tokens default</x:v>
      </x:c>
      <x:c r="D32" s="1950" t="str">
        <x:v>ready</x:v>
      </x:c>
      <x:c r="E32" s="1952" t="str">
        <x:v>max_tokens为null时过大的min_tokens绕过校验，EngineCore重建参数后线程异常。</x:v>
      </x:c>
      <x:c r="F32" s="1952" t="str">
        <x:v>InputProcessor填充max_tokens后再次检查min_tokens上界。</x:v>
      </x:c>
      <x:c r="G32" s="1952" t="str">
        <x:v>在准入阶段拒绝非法请求，避免用户输入拖死引擎。</x:v>
      </x:c>
      <x:c r="H32" s="1950" t="str">
        <x:v>是</x:v>
      </x:c>
      <x:c r="I32" s="1952" t="str">
        <x:v>vllm/v1/engine/input_processor.py; tests/entrypoints/scale_out/token_in_token_out/test_serving_tokens.py; tests/test_request_input_bounds.py</x:v>
      </x:c>
      <x:c r="J32" s="1952" t="str">
        <x:v>https://github.com/vllm-project/vllm/pull/57731</x:v>
      </x:c>
    </x:row>
    <x:row r="33" ht="70" customHeight="1">
      <x:c r="A33" s="1985" t="str">
        <x:v>#57006</x:v>
      </x:c>
      <x:c r="B33" s="1990" t="n">
        <x:v>46287.57674768518</x:v>
      </x:c>
      <x:c r="C33" s="1985" t="str">
        <x:v>[Bugfix][Frontend] Validate mixed prompt embedding mask lengths</x:v>
      </x:c>
      <x:c r="D33" s="1985" t="str">
        <x:v>bug; ready</x:v>
      </x:c>
      <x:c r="E33" s="1983" t="str">
        <x:v>混合embedding mask长度错位可广播错误甚至静默错配。</x:v>
      </x:c>
      <x:c r="F33" s="1983" t="str">
        <x:v>InputProcessor验证mask长度等于embedding行数并返回参数错误。</x:v>
      </x:c>
      <x:c r="G33" s="1983" t="str">
        <x:v>mask逐位置对应，不能允许NumPy广播替代语义检查。</x:v>
      </x:c>
      <x:c r="H33" s="1985" t="str">
        <x:v>是</x:v>
      </x:c>
      <x:c r="I33" s="1983" t="str">
        <x:v>vllm/v1/engine/input_processor.py; tests/test_request_input_bounds.py</x:v>
      </x:c>
      <x:c r="J33" s="1983" t="str">
        <x:v>https://github.com/vllm-project/vllm/pull/57006</x:v>
      </x:c>
    </x:row>
    <x:row r="34" ht="93" customHeight="1">
      <x:c r="A34" s="1950" t="str">
        <x:v>#47736</x:v>
      </x:c>
      <x:c r="B34" s="1991" t="n">
        <x:v>46287.58070601852</x:v>
      </x:c>
      <x:c r="C34" s="1950" t="str">
        <x:v>[Bugfix][Qwen2.5-VL] Honor video fps for temporal M-RoPE</x:v>
      </x:c>
      <x:c r="D34" s="1950" t="str">
        <x:v>bug; documentation; ready; multi-modality; qwen; nvidia</x:v>
      </x:c>
      <x:c r="E34" s="1952" t="str">
        <x:v>Qwen2.5VL视频元数据被丢弃，fps不同仍产生相同时间MRoPE。</x:v>
      </x:c>
      <x:c r="F34" s="1952" t="str">
        <x:v>保留视频metadata并传HF processor，dummy video也附合成metadata。</x:v>
      </x:c>
      <x:c r="G34" s="1952" t="str">
        <x:v>时间位置应源于真实sampled_fps；无metadata的裸视频数组现在明确报错。</x:v>
      </x:c>
      <x:c r="H34" s="1950" t="str">
        <x:v>是</x:v>
      </x:c>
      <x:c r="I34" s="1952" t="str">
        <x:v>vllm/model_executor/models/qwen2_5_vl.py; examples/generate/multimodal/vision_language_offline.py; tests/models/multimodal/generation/test_common.py; tests/models/multimodal/generation/test_qwen2_5_vl.py; tests/models/multimodal/generation/test_vit_cudagraph.py</x:v>
      </x:c>
      <x:c r="J34" s="1952" t="str">
        <x:v>https://github.com/vllm-project/vllm/pull/47736</x:v>
      </x:c>
    </x:row>
    <x:row r="35" ht="79.5" customHeight="1">
      <x:c r="A35" s="1985" t="str">
        <x:v>#57340</x:v>
      </x:c>
      <x:c r="B35" s="1990" t="n">
        <x:v>46287.5916087963</x:v>
      </x:c>
      <x:c r="C35" s="1985" t="str">
        <x:v>[Rust Frontend] Build full-output grammars from initialized reasoning parsers</x:v>
      </x:c>
      <x:c r="D35" s="1985" t="str">
        <x:v>rust; kimi; k3</x:v>
      </x:c>
      <x:c r="E35" s="1983" t="str">
        <x:v>Rust严格工具语法仅约束reasoning结束之后的输出。</x:v>
      </x:c>
      <x:c r="F35" s="1983" t="str">
        <x:v>从初始化后的reasoning parser构造包装grammar并启用FromTokenZero。</x:v>
      </x:c>
      <x:c r="G35" s="1983" t="str">
        <x:v>确保reasoning关闭和工具输出连续约束；K3/Gemma4/Harmony等未纳入。</x:v>
      </x:c>
      <x:c r="H35" s="1985" t="str">
        <x:v>否</x:v>
      </x:c>
      <x:c r="I35" s="1983" t="str">
        <x:v>rust/src/parser/src/output_grammar.rs; rust/src/parser/src/reasoning/deepseek_r1.rs; rust/src/parser/src/reasoning/deepseek_v3.rs; rust/src/parser/src/reasoning/delimited.rs; rust/src/parser/src/reasoning/glm45.rs</x:v>
      </x:c>
      <x:c r="J35" s="1983" t="str">
        <x:v>https://github.com/vllm-project/vllm/pull/57340</x:v>
      </x:c>
    </x:row>
    <x:row r="36" ht="93" customHeight="1">
      <x:c r="A36" s="1950" t="str">
        <x:v>#47842</x:v>
      </x:c>
      <x:c r="B36" s="1991" t="n">
        <x:v>46287.60990740741</x:v>
      </x:c>
      <x:c r="C36" s="1950" t="str">
        <x:v>[ROCm][Perf] Avoid extra reshape kernel in Qwen GDN output norm</x:v>
      </x:c>
      <x:c r="D36" s="1950" t="str">
        <x:v>performance; rocm; ready; torch.compile; ci/build; qwen</x:v>
      </x:c>
      <x:c r="E36" s="1952" t="str">
        <x:v>Qwen GDN norm周围的reshape造成ROCm Inductor额外copy kernel。</x:v>
      </x:c>
      <x:c r="F36" s="1952" t="str">
        <x:v>norm直接处理原rank，统一输出projection；AITER匹配兼容两类layout并消除noop reshape。</x:v>
      </x:c>
      <x:c r="G36" s="1952" t="str">
        <x:v>减少编译布局转换；NPU自有forward与norm需独立profile。</x:v>
      </x:c>
      <x:c r="H36" s="1950" t="str">
        <x:v>否</x:v>
      </x:c>
      <x:c r="I36" s="1952" t="str">
        <x:v>vllm/compilation/passes/fusion/rocm_aiter_fusion.py; vllm/compilation/passes/vllm_inductor_pass.py; vllm/model_executor/layers/mamba/gdn/qwen_gdn_linear_attn.py; tests/compile/passes/test_fusion.py; tests/kernels/mamba/test_gdn_output_projection.py</x:v>
      </x:c>
      <x:c r="J36" s="1952" t="str">
        <x:v>https://github.com/vllm-project/vllm/pull/47842</x:v>
      </x:c>
    </x:row>
    <x:row r="37" ht="70" customHeight="1">
      <x:c r="A37" s="1985" t="str">
        <x:v>#50814</x:v>
      </x:c>
      <x:c r="B37" s="1990" t="n">
        <x:v>46287.61890046296</x:v>
      </x:c>
      <x:c r="C37" s="1985" t="str">
        <x:v>[Kernel] Add opt-in load-time MXFP4 dequantization</x:v>
      </x:c>
      <x:c r="D37" s="1985" t="str">
        <x:v>rocm; quantization; verified; kimi; k3</x:v>
      </x:c>
      <x:c r="E37" s="1983" t="str">
        <x:v>MXFP4仿真每次linear都反量化同一权重。</x:v>
      </x:c>
      <x:c r="F37" s="1983" t="str">
        <x:v>默认关闭的新环境开关允许加载时反量化成BF16，保留激活QDQ。</x:v>
      </x:c>
      <x:c r="G37" s="1983" t="str">
        <x:v>用常驻内存换重复计算，native MXFP4/MoE选核不变。</x:v>
      </x:c>
      <x:c r="H37" s="1985" t="str">
        <x:v>否</x:v>
      </x:c>
      <x:c r="I37" s="1983" t="str">
        <x:v>vllm/envs.py; vllm/model_executor/kernels/linear/mxfp4/emulation.py; tests/kernels/quantization/test_mxfp4_kernel_selection.py</x:v>
      </x:c>
      <x:c r="J37" s="1983" t="str">
        <x:v>https://github.com/vllm-project/vllm/pull/50814</x:v>
      </x:c>
    </x:row>
    <x:row r="38" ht="70" customHeight="1">
      <x:c r="A38" s="1950" t="str">
        <x:v>#58084</x:v>
      </x:c>
      <x:c r="B38" s="1991" t="n">
        <x:v>46287.623564814814</x:v>
      </x:c>
      <x:c r="C38" s="1950" t="str">
        <x:v>[Rust Frontend] Separate multimodal instrumentation from request timing</x:v>
      </x:c>
      <x:c r="D38" s="1950" t="str">
        <x:v>ready; rust</x:v>
      </x:c>
      <x:c r="E38" s="1952" t="str">
        <x:v>Rust MM计时职责混在通用tracing中，统计句柄契约不清。</x:v>
      </x:c>
      <x:c r="F38" s="1952" t="str">
        <x:v>MM instrumentation移入chat，benchmark直接用RequestTimingStats，保留阶段和聚合语义。</x:v>
      </x:c>
      <x:c r="G38" s="1952" t="str">
        <x:v>分离领域埋点与通用计时；非独立性能提升。</x:v>
      </x:c>
      <x:c r="H38" s="1950" t="str">
        <x:v>否</x:v>
      </x:c>
      <x:c r="I38" s="1952" t="str">
        <x:v>rust/src/bench/src/mm_processor.rs; rust/src/chat/src/lib.rs; rust/src/chat/src/multimodal.rs; rust/src/chat/src/multimodal/audio.rs; rust/src/chat/src/multimodal/expand.rs</x:v>
      </x:c>
      <x:c r="J38" s="1952" t="str">
        <x:v>https://github.com/vllm-project/vllm/pull/58084</x:v>
      </x:c>
    </x:row>
    <x:row r="39" ht="79.5" customHeight="1">
      <x:c r="A39" s="1985" t="str">
        <x:v>#57428</x:v>
      </x:c>
      <x:c r="B39" s="1990" t="n">
        <x:v>46287.67173611111</x:v>
      </x:c>
      <x:c r="C39" s="1985" t="str">
        <x:v>[Kernel][DSV4.1] Fuse MXFP8 wo_b GEMM with sequence-parallel reduce-scatter</x:v>
      </x:c>
      <x:c r="D39" s="1985" t="str">
        <x:v>performance; ready; ci/build; deepseek; nvidia; DSv4; kimi; k3; DSv4.1</x:v>
      </x:c>
      <x:c r="E39" s="1983" t="str">
        <x:v>DSV4.1 SP wo_b矩阵乘后单独reduce-scatter产生launch与HBM往返。</x:v>
      </x:c>
      <x:c r="F39" s="1983" t="str">
        <x:v>SM100 MXFP8 GEMM-RS融合，统一共享workspace与门禁，默认关闭并按shape回退。</x:v>
      </x:c>
      <x:c r="G39" s="1983" t="str">
        <x:v>融合计算通信；小M握手开销会更慢，不能忽略阈值与数值舍入差异。</x:v>
      </x:c>
      <x:c r="H39" s="1985" t="str">
        <x:v>否</x:v>
      </x:c>
      <x:c r="I39" s="1983" t="str">
        <x:v>vllm/cute_utils/_tcgen05.py; vllm/envs.py; vllm/model_executor/kernels/linear/cute_dsl/gemm_rs_ar.py; vllm/model_executor/warmup/kernel_warmup.py; vllm/models/deepseek_v4/nvidia/ops/o_proj.py</x:v>
      </x:c>
      <x:c r="J39" s="1983" t="str">
        <x:v>https://github.com/vllm-project/vllm/pull/57428</x:v>
      </x:c>
    </x:row>
    <x:row r="40" ht="70" customHeight="1">
      <x:c r="A40" s="1950" t="str">
        <x:v>#58097</x:v>
      </x:c>
      <x:c r="B40" s="1991" t="n">
        <x:v>46287.69275462963</x:v>
      </x:c>
      <x:c r="C40" s="1950" t="str">
        <x:v>[CI] Emit a kernel symbol map from the csrc build (opt-in, for test selection)</x:v>
      </x:c>
      <x:c r="D40" s="1950" t="str">
        <x:v>documentation; ci/build</x:v>
      </x:c>
      <x:c r="E40" s="1952" t="str">
        <x:v>仅文件依赖选择GPU测试过宽，缺少实际内核与源码对应。</x:v>
      </x:c>
      <x:c r="F40" s="1952" t="str">
        <x:v>可选构建产出对象/头文件/内核symbol map，与nightly运行trace联合选择测试。</x:v>
      </x:c>
      <x:c r="G40" s="1952" t="str">
        <x:v>用真实构建和执行证据缩小测试集合；cuobjdump不可直接用于NPU。</x:v>
      </x:c>
      <x:c r="H40" s="1950" t="str">
        <x:v>否</x:v>
      </x:c>
      <x:c r="I40" s="1952" t="str">
        <x:v>.buildkite/image_build/image_build.sh; docker/Dockerfile; docs/assets/contributing/dockerfile-stages-dependency.png; tools/ci/kernel_symbol_map.py</x:v>
      </x:c>
      <x:c r="J40" s="1952" t="str">
        <x:v>https://github.com/vllm-project/vllm/pull/58097</x:v>
      </x:c>
    </x:row>
    <x:row r="41" ht="79.5" customHeight="1">
      <x:c r="A41" s="1985" t="str">
        <x:v>#55385</x:v>
      </x:c>
      <x:c r="B41" s="1990" t="n">
        <x:v>46287.71111111111</x:v>
      </x:c>
      <x:c r="C41" s="1985" t="str">
        <x:v>[perf] wire FA and FlashMLA for sm90 GLM5Next NoPE SparseMLA</x:v>
      </x:c>
      <x:c r="D41" s="1985" t="str">
        <x:v>ready; ci/build; glm</x:v>
      </x:c>
      <x:c r="E41" s="1983" t="str">
        <x:v>GLM NoPE SM90 sparse MLA仅默认FlashInfer路径，缺少后端选择。</x:v>
      </x:c>
      <x:c r="F41" s="1983" t="str">
        <x:v>为FlashMLA/FA3接入head512、rope0、BF16 KV条件并增加选型测试。</x:v>
      </x:c>
      <x:c r="G41" s="1983" t="str">
        <x:v>以可选后端改善时延；修正旧benchmark受1M上下文plan成本干扰的夸大数字。</x:v>
      </x:c>
      <x:c r="H41" s="1985" t="str">
        <x:v>否</x:v>
      </x:c>
      <x:c r="I41" s="1983" t="str">
        <x:v>vllm/v1/attention/backends/mla/flashattn_mla_sparse.py; vllm/v1/attention/backends/mla/flashmla_sparse.py; cmake/external_projects/vllm_flash_attn.cmake; tests/v1/attention/test_flashmla_nope_sm90_backend_selection.py</x:v>
      </x:c>
      <x:c r="J41" s="1983" t="str">
        <x:v>https://github.com/vllm-project/vllm/pull/55385</x:v>
      </x:c>
    </x:row>
    <x:row r="42" ht="70" customHeight="1">
      <x:c r="A42" s="1950" t="str">
        <x:v>#56547</x:v>
      </x:c>
      <x:c r="B42" s="1991" t="n">
        <x:v>46287.73420138889</x:v>
      </x:c>
      <x:c r="C42" s="1950" t="str">
        <x:v>[CPU] Add device-memory-utilization CLI alias</x:v>
      </x:c>
      <x:c r="D42" s="1950" t="str">
        <x:v>ready; cpu; verified; build-docs</x:v>
      </x:c>
      <x:c r="E42" s="1952" t="str">
        <x:v>CPU用户使用gpu-memory-utilization名称易误解。</x:v>
      </x:c>
      <x:c r="F42" s="1952" t="str">
        <x:v>新增device-memory-utilization别名，仍写原字段。</x:v>
      </x:c>
      <x:c r="G42" s="1952" t="str">
        <x:v>统一设备无关CLI语义，不改变内存计算算法。</x:v>
      </x:c>
      <x:c r="H42" s="1950" t="str">
        <x:v>否</x:v>
      </x:c>
      <x:c r="I42" s="1952" t="str">
        <x:v>vllm/config/cache.py; vllm/engine/arg_utils.py; tests/engine/test_arg_utils.py</x:v>
      </x:c>
      <x:c r="J42" s="1952" t="str">
        <x:v>https://github.com/vllm-project/vllm/pull/56547</x:v>
      </x:c>
    </x:row>
    <x:row r="43" ht="70" customHeight="1">
      <x:c r="A43" s="1985" t="str">
        <x:v>#58109</x:v>
      </x:c>
      <x:c r="B43" s="1990" t="n">
        <x:v>46287.75131944445</x:v>
      </x:c>
      <x:c r="C43" s="1985" t="str">
        <x:v>[Rust Frontend] Construct model-owned vision processors through specs</x:v>
      </x:c>
      <x:c r="D43" s="1985" t="str">
        <x:v>ready; rust</x:v>
      </x:c>
      <x:c r="E43" s="1983" t="str">
        <x:v>Rust视觉processor构造和所有权不在模型生命周期统一管理。</x:v>
      </x:c>
      <x:c r="F43" s="1983" t="str">
        <x:v>模型加载按spec构造图像/视频processor，Arc复用并更新依赖。</x:v>
      </x:c>
      <x:c r="G43" s="1983" t="str">
        <x:v>统一配置隔离和错误传播；未提供独立构造复用的性能A/B。</x:v>
      </x:c>
      <x:c r="H43" s="1985" t="str">
        <x:v>否</x:v>
      </x:c>
      <x:c r="I43" s="1983" t="str">
        <x:v>rust/Cargo.lock; rust/Cargo.toml; rust/src/chat/src/multimodal.rs; rust/src/chat/src/multimodal/image.rs; rust/src/chat/src/multimodal/video.rs</x:v>
      </x:c>
      <x:c r="J43" s="1983" t="str">
        <x:v>https://github.com/vllm-project/vllm/pull/58109</x:v>
      </x:c>
    </x:row>
    <x:row r="44" ht="70" customHeight="1">
      <x:c r="A44" s="1950" t="str">
        <x:v>#55931</x:v>
      </x:c>
      <x:c r="B44" s="1991" t="n">
        <x:v>46287.81929398148</x:v>
      </x:c>
      <x:c r="C44" s="1950" t="str">
        <x:v>[BugFix][Core] Make the structured-output grammar poll non-blocking</x:v>
      </x:c>
      <x:c r="D44" s="1950" t="str">
        <x:v>bug; structured-output; ready</x:v>
      </x:c>
      <x:c r="E44" s="1952" t="str">
        <x:v>结构化grammar轮询每future等待100微秒，编译自身TimeoutError被误判为未完成。</x:v>
      </x:c>
      <x:c r="F44" s="1952" t="str">
        <x:v>先done非阻塞检查，再result读取真实异常并存失败标志。</x:v>
      </x:c>
      <x:c r="G44" s="1952" t="str">
        <x:v>消除调度空等并区分未就绪和编译失败。</x:v>
      </x:c>
      <x:c r="H44" s="1950" t="str">
        <x:v>是</x:v>
      </x:c>
      <x:c r="I44" s="1952" t="str">
        <x:v>vllm/v1/structured_output/request.py; tests/v1/structured_output/test_request.py</x:v>
      </x:c>
      <x:c r="J44" s="1952" t="str">
        <x:v>https://github.com/vllm-project/vllm/pull/55931</x:v>
      </x:c>
    </x:row>
    <x:row r="45" ht="70" customHeight="1">
      <x:c r="A45" s="1985" t="str">
        <x:v>#58050</x:v>
      </x:c>
      <x:c r="B45" s="1990" t="n">
        <x:v>46287.8305787037</x:v>
      </x:c>
      <x:c r="C45" s="1985" t="str">
        <x:v>[XPU][CI]Remove model_runner_v2 test from Intel GPU CI</x:v>
      </x:c>
      <x:c r="D45" s="1985" t="str">
        <x:v>intel-gpu; ci/build</x:v>
      </x:c>
      <x:c r="E45" s="1983" t="str">
        <x:v>Intel CI仍保留已不需要的MRV2测试job。</x:v>
      </x:c>
      <x:c r="F45" s="1983" t="str">
        <x:v>删除对应Intel测试配置。</x:v>
      </x:c>
      <x:c r="G45" s="1983" t="str">
        <x:v>跟随后续测试整合；仅CI维护，不能据此认定NPU可删测试。</x:v>
      </x:c>
      <x:c r="H45" s="1985" t="str">
        <x:v>否</x:v>
      </x:c>
      <x:c r="I45" s="1983" t="str">
        <x:v>.buildkite/intel_jobs/model_runner_v2_intel.yaml</x:v>
      </x:c>
      <x:c r="J45" s="1983" t="str">
        <x:v>https://github.com/vllm-project/vllm/pull/58050</x:v>
      </x:c>
    </x:row>
    <x:row r="46" ht="70" customHeight="1">
      <x:c r="A46" s="1950" t="str">
        <x:v>#47450</x:v>
      </x:c>
      <x:c r="B46" s="1991" t="n">
        <x:v>46287.88171296296</x:v>
      </x:c>
      <x:c r="C46" s="1950" t="str">
        <x:v>[Bugfix][Structured Outputs] Reject empty `structural_tag` at request validation</x:v>
      </x:c>
      <x:c r="D46" s="1950" t="str">
        <x:v>bug; structured-output; ready; v1</x:v>
      </x:c>
      <x:c r="E46" s="1952" t="str">
        <x:v>空structural_tag进入grammar编译后返回500而非准入400。</x:v>
      </x:c>
      <x:c r="F46" s="1952" t="str">
        <x:v>SamplingParams加入空字符串校验并扩展回归。</x:v>
      </x:c>
      <x:c r="G46" s="1952" t="str">
        <x:v>已有编译异常隔离不代替输入校验；空regex仍可合法。</x:v>
      </x:c>
      <x:c r="H46" s="1950" t="str">
        <x:v>是</x:v>
      </x:c>
      <x:c r="I46" s="1952" t="str">
        <x:v>vllm/sampling_params.py; tests/v1/structured_output/test_validation.py</x:v>
      </x:c>
      <x:c r="J46" s="1952" t="str">
        <x:v>https://github.com/vllm-project/vllm/pull/47450</x:v>
      </x:c>
    </x:row>
    <x:row r="47" ht="70" customHeight="1">
      <x:c r="A47" s="1985" t="str">
        <x:v>#57945</x:v>
      </x:c>
      <x:c r="B47" s="1990" t="n">
        <x:v>46287.884108796294</x:v>
      </x:c>
      <x:c r="C47" s="1985" t="str">
        <x:v>[Build] Fix CUDA 12 KV connector dependency selection</x:v>
      </x:c>
      <x:c r="D47" s="1985" t="str">
        <x:v>ci/build; nvidia</x:v>
      </x:c>
      <x:c r="E47" s="1983" t="str">
        <x:v>CUDA12安装新KV connector依赖冲突并可替换固定Torch栈。</x:v>
      </x:c>
      <x:c r="F47" s="1983" t="str">
        <x:v>按CUDA版本选LMCache/CuPy并施加Torch约束，冲突直接失败。</x:v>
      </x:c>
      <x:c r="G47" s="1983" t="str">
        <x:v>避免构建悄然漂移；CUDA13依赖不变。</x:v>
      </x:c>
      <x:c r="H47" s="1985" t="str">
        <x:v>是</x:v>
      </x:c>
      <x:c r="I47" s="1983" t="str">
        <x:v>.buildkite/scripts/install-kv-connectors.sh; docker/Dockerfile; requirements/kv_connectors_cu12.txt</x:v>
      </x:c>
      <x:c r="J47" s="1983" t="str">
        <x:v>https://github.com/vllm-project/vllm/pull/57945</x:v>
      </x:c>
    </x:row>
    <x:row r="48" ht="70" customHeight="1">
      <x:c r="A48" s="1950" t="str">
        <x:v>#58061</x:v>
      </x:c>
      <x:c r="B48" s="1991" t="n">
        <x:v>46287.91553240741</x:v>
      </x:c>
      <x:c r="C48" s="1950" t="str">
        <x:v>[Bugfix][GLM-5.3-Flash] Run the dense MLP layers on the sequence-parallel shard</x:v>
      </x:c>
      <x:c r="D48" s="1950" t="str">
        <x:v>bug; ready; glm</x:v>
      </x:c>
      <x:c r="E48" s="1952" t="str">
        <x:v>GLM5Next SP分片后dense MLP仍做TP allreduce，混合不同token输出。</x:v>
      </x:c>
      <x:c r="F48" s="1952" t="str">
        <x:v>dense MLP传is_sequence_parallel并关闭重复TP切分/归约。</x:v>
      </x:c>
      <x:c r="G48" s="1952" t="str">
        <x:v>非MoE层也必须遵守全模型SP布局，不可仅修共享专家。</x:v>
      </x:c>
      <x:c r="H48" s="1950" t="str">
        <x:v>是</x:v>
      </x:c>
      <x:c r="I48" s="1952" t="str">
        <x:v>vllm/models/glm5next/common/model.py; tests/models/glm5next/test_sequence_parallel.py</x:v>
      </x:c>
      <x:c r="J48" s="1952" t="str">
        <x:v>https://github.com/vllm-project/vllm/pull/58061</x:v>
      </x:c>
    </x:row>
    <x:row r="49" ht="70" customHeight="1">
      <x:c r="A49" s="1985" t="str">
        <x:v>#56250</x:v>
      </x:c>
      <x:c r="B49" s="1990" t="n">
        <x:v>46287.91673611111</x:v>
      </x:c>
      <x:c r="C49" s="1985" t="str">
        <x:v>[Bugfix][Structured Output] Disallow MRV1 + PP&gt;1 + async sched + structured output</x:v>
      </x:c>
      <x:c r="D49" s="1985" t="str">
        <x:v>bug; ready; scheduler</x:v>
      </x:c>
      <x:c r="E49" s="1983" t="str">
        <x:v>MRV1 PP&gt;1异步结构化输出FSM未等前步完成而失败。</x:v>
      </x:c>
      <x:c r="F49" s="1983" t="str">
        <x:v>自动异步时关闭不支持组合，显式启用则加入V1 unsupported列表。</x:v>
      </x:c>
      <x:c r="G49" s="1983" t="str">
        <x:v>选择明确拒绝而非扩展旧runner；最终仅禁PP+async，不是禁所有PP。</x:v>
      </x:c>
      <x:c r="H49" s="1985" t="str">
        <x:v>是</x:v>
      </x:c>
      <x:c r="I49" s="1983" t="str">
        <x:v>vllm/config/vllm.py; tests/test_config.py</x:v>
      </x:c>
      <x:c r="J49" s="1983" t="str">
        <x:v>https://github.com/vllm-project/vllm/pull/56250</x:v>
      </x:c>
    </x:row>
    <x:row r="50" ht="93" customHeight="1">
      <x:c r="A50" s="1950" t="str">
        <x:v>#55881</x:v>
      </x:c>
      <x:c r="B50" s="1991" t="n">
        <x:v>46287.96313657407</x:v>
      </x:c>
      <x:c r="C50" s="1950" t="str">
        <x:v>[Feat][XPU] VLLM_BATCH_INVARIANT support for Dense/MoE models</x:v>
      </x:c>
      <x:c r="D50" s="1950" t="str">
        <x:v>intel-gpu; ci/build</x:v>
      </x:c>
      <x:c r="E50" s="1952" t="str">
        <x:v>XPU batch invariant选核及浮点归约顺序仍随batch变化。</x:v>
      </x:c>
      <x:c r="F50" s="1952" t="str">
        <x:v>强制兼容Triton MoE并采用固定rank顺序归约代替XCCL allreduce。</x:v>
      </x:c>
      <x:c r="G50" s="1952" t="str">
        <x:v>确定性依赖算子与通信共同保证；不是性能提升承诺。</x:v>
      </x:c>
      <x:c r="H50" s="1950" t="str">
        <x:v>是</x:v>
      </x:c>
      <x:c r="I50" s="1952" t="str">
        <x:v>vllm/distributed/device_communicators/xpu_communicator.py; vllm/model_executor/determinism/batch_invariant.py; vllm/model_executor/layers/fused_moe/oracle/unquantized.py; vllm/model_executor/layers/layernorm.py; vllm/platforms/xpu.py</x:v>
      </x:c>
      <x:c r="J50" s="1952" t="str">
        <x:v>https://github.com/vllm-project/vllm/pull/55881</x:v>
      </x:c>
    </x:row>
    <x:row r="51" ht="70" customHeight="1">
      <x:c r="A51" s="1985" t="str">
        <x:v>#58166</x:v>
      </x:c>
      <x:c r="B51" s="1990" t="n">
        <x:v>46287.96355324074</x:v>
      </x:c>
      <x:c r="C51" s="1985" t="str">
        <x:v>[SpecDecode] Restore residual-logits comments in _resample_kernel</x:v>
      </x:c>
      <x:c r="D51" s="1985" t="str">
        <x:v>speculative-decoding; mrv2</x:v>
      </x:c>
      <x:c r="E51" s="1983" t="str">
        <x:v>拒绝采样残差分布注释被缩减，数学依据难追溯。</x:v>
      </x:c>
      <x:c r="F51" s="1983" t="str">
        <x:v>恢复原始推导注释。</x:v>
      </x:c>
      <x:c r="G51" s="1983" t="str">
        <x:v>仅注释，无行为或收益变化。</x:v>
      </x:c>
      <x:c r="H51" s="1985" t="str">
        <x:v>否</x:v>
      </x:c>
      <x:c r="I51" s="1983" t="str">
        <x:v>vllm/v1/worker/gpu/spec_decode/rejection_sampler_utils.py</x:v>
      </x:c>
      <x:c r="J51" s="1983" t="str">
        <x:v>https://github.com/vllm-project/vllm/pull/58166</x:v>
      </x:c>
    </x:row>
    <x:row r="52" ht="70" customHeight="1">
      <x:c r="A52" s="1950" t="str">
        <x:v>#58150</x:v>
      </x:c>
      <x:c r="B52" s="1991" t="n">
        <x:v>46287.965046296296</x:v>
      </x:c>
      <x:c r="C52" s="1950" t="str">
        <x:v>[Bugfix] Narrow AuxOutput KV restrictions to known PD connectors</x:v>
      </x:c>
      <x:c r="D52" s="1950" t="str">
        <x:v>bug; ready; kv-connector</x:v>
      </x:c>
      <x:c r="E52" s="1952" t="str">
        <x:v>AuxOutput一律拒绝KV connector，误伤KV offload组合。</x:v>
      </x:c>
      <x:c r="F52" s="1952" t="str">
        <x:v>使用has_connector只拒绝五个已知PD connector且递归MultiConnector。</x:v>
      </x:c>
      <x:c r="G52" s="1952" t="str">
        <x:v>按协议能力约束；放行不代表历史KV和R3联合恢复已验证。</x:v>
      </x:c>
      <x:c r="H52" s="1950" t="str">
        <x:v>是</x:v>
      </x:c>
      <x:c r="I52" s="1952" t="str">
        <x:v>vllm/config/vllm.py; tests/config/test_aux_output_config.py</x:v>
      </x:c>
      <x:c r="J52" s="1952" t="str">
        <x:v>https://github.com/vllm-project/vllm/pull/58150</x:v>
      </x:c>
    </x:row>
    <x:row r="53" ht="70" customHeight="1">
      <x:c r="A53" s="1985" t="str">
        <x:v>#58073</x:v>
      </x:c>
      <x:c r="B53" s="1990" t="n">
        <x:v>46287.98478009259</x:v>
      </x:c>
      <x:c r="C53" s="1985" t="str">
        <x:v>[Bugfix] prioritize architecture capability before DeepGEMM availability check</x:v>
      </x:c>
      <x:c r="D53" s="1985" t="str">
        <x:v>bug; ready</x:v>
      </x:c>
      <x:c r="E53" s="1983" t="str">
        <x:v>不支持DeepGEMM的架构仍触发模块可用性检查及无关警告。</x:v>
      </x:c>
      <x:c r="F53" s="1983" t="str">
        <x:v>将is_supported_arch置于and表达式最左侧。</x:v>
      </x:c>
      <x:c r="G53" s="1983" t="str">
        <x:v>利用短路先排除不支持平台，避免无意义环境导入。</x:v>
      </x:c>
      <x:c r="H53" s="1985" t="str">
        <x:v>是</x:v>
      </x:c>
      <x:c r="I53" s="1983" t="str">
        <x:v>vllm/utils/deep_gemm.py</x:v>
      </x:c>
      <x:c r="J53" s="1983" t="str">
        <x:v>https://github.com/vllm-project/vllm/pull/58073</x:v>
      </x:c>
    </x:row>
    <x:row r="54" ht="70" customHeight="1">
      <x:c r="A54" s="1950" t="str">
        <x:v>#56579</x:v>
      </x:c>
      <x:c r="B54" s="1991" t="n">
        <x:v>46288.00770833333</x:v>
      </x:c>
      <x:c r="C54" s="1950" t="str">
        <x:v>[Bugfix][Attention] Avoid NaN in the Triton softcap for large attention logits</x:v>
      </x:c>
      <x:c r="D54" s="1950" t="str">
        <x:v>bug; ready; verified</x:v>
      </x:c>
      <x:c r="E54" s="1952" t="str">
        <x:v>Triton attention softcap用双指数计算tanh，大logit溢出成NaN。</x:v>
      </x:c>
      <x:c r="F54" s="1952" t="str">
        <x:v>改用1-2/(exp(2S/x)+1)稳定饱和形式。</x:v>
      </x:c>
      <x:c r="G54" s="1952" t="str">
        <x:v>保持数学softcap，避免inf/inf污染attention行。</x:v>
      </x:c>
      <x:c r="H54" s="1950" t="str">
        <x:v>是</x:v>
      </x:c>
      <x:c r="I54" s="1952" t="str">
        <x:v>vllm/v1/attention/ops/triton_attention_helpers.py; tests/kernels/attention/test_triton_unified_attention.py</x:v>
      </x:c>
      <x:c r="J54" s="1952" t="str">
        <x:v>https://github.com/vllm-project/vllm/pull/56579</x:v>
      </x:c>
    </x:row>
    <x:row r="55" ht="70" customHeight="1">
      <x:c r="A55" s="1985" t="str">
        <x:v>#57914</x:v>
      </x:c>
      <x:c r="B55" s="1990" t="n">
        <x:v>46288.01331018518</x:v>
      </x:c>
      <x:c r="C55" s="1985" t="str">
        <x:v>[Bugfix][Engram] Fall back when /dev/shm is absent before sharing tables</x:v>
      </x:c>
      <x:c r="D55" s="1985" t="str">
        <x:v>bug; ready; deepseek; DSv4.1</x:v>
      </x:c>
      <x:c r="E55" s="1983" t="str">
        <x:v>Engram自动共享表在无/dev/shm主机直接disk_usage报错。</x:v>
      </x:c>
      <x:c r="F55" s="1983" t="str">
        <x:v>先检查SHM目录，缺失回退；简化存储分配异常清理。</x:v>
      </x:c>
      <x:c r="G55" s="1983" t="str">
        <x:v>自动能力检测应可降级，保持资源注销顺序。</x:v>
      </x:c>
      <x:c r="H55" s="1985" t="str">
        <x:v>是</x:v>
      </x:c>
      <x:c r="I55" s="1983" t="str">
        <x:v>vllm/models/deepseek_v41/nvidia/engram.py</x:v>
      </x:c>
      <x:c r="J55" s="1983" t="str">
        <x:v>https://github.com/vllm-project/vllm/pull/57914</x:v>
      </x:c>
    </x:row>
    <x:row r="56" ht="70" customHeight="1">
      <x:c r="A56" s="1950" t="str">
        <x:v>#43462</x:v>
      </x:c>
      <x:c r="B56" s="1991" t="n">
        <x:v>46288.03357638889</x:v>
      </x:c>
      <x:c r="C56" s="1950" t="str">
        <x:v>[Bugfix] hadacore_transform: respect inplace parameter to fix garbage outputs with QuIP transforms</x:v>
      </x:c>
      <x:c r="D56" s="1950" t="str">
        <x:v>bug; ready; nvidia; quantization</x:v>
      </x:c>
      <x:c r="E56" s="1952" t="str">
        <x:v>hadacore忽略inplace，输出未写；图编译别名优化后QuIP生成乱码。</x:v>
      </x:c>
      <x:c r="F56" s="1952" t="str">
        <x:v>CUDA kernel写out指针，调用显式inplace=False并保留防御clone。</x:v>
      </x:c>
      <x:c r="G56" s="1952" t="str">
        <x:v>实现必须满足可变schema与返回存储契约，不能只依赖clone。</x:v>
      </x:c>
      <x:c r="H56" s="1950" t="str">
        <x:v>是</x:v>
      </x:c>
      <x:c r="I56" s="1952" t="str">
        <x:v>csrc/libtorch_stable/quantization/hadamard/hadacore/hadamard_transform_cuda.cu; vllm/model_executor/layers/quantization/compressed_tensors/transform/module.py</x:v>
      </x:c>
      <x:c r="J56" s="1952" t="str">
        <x:v>https://github.com/vllm-project/vllm/pull/43462</x:v>
      </x:c>
    </x:row>
    <x:row r="57" ht="79.5" customHeight="1">
      <x:c r="A57"/>
      <x:c r="B57"/>
      <x:c r="C57"/>
      <x:c r="D57"/>
      <x:c r="E57"/>
      <x:c r="F57"/>
      <x:c r="G57"/>
      <x:c r="H57"/>
      <x:c r="I57"/>
      <x:c r="J57"/>
    </x:row>
    <x:row r="58" ht="70" customHeight="1">
      <x:c r="A58"/>
      <x:c r="B58"/>
      <x:c r="C58"/>
      <x:c r="D58"/>
      <x:c r="E58"/>
      <x:c r="F58"/>
      <x:c r="G58"/>
      <x:c r="H58"/>
      <x:c r="I58"/>
      <x:c r="J58"/>
    </x:row>
    <x:row r="59" ht="79.5" customHeight="1">
      <x:c r="A59"/>
      <x:c r="B59"/>
      <x:c r="C59"/>
      <x:c r="D59"/>
      <x:c r="E59"/>
      <x:c r="F59"/>
      <x:c r="G59"/>
      <x:c r="H59"/>
      <x:c r="I59"/>
      <x:c r="J59"/>
    </x:row>
    <x:row r="60" ht="79.5" customHeight="1">
      <x:c r="A60"/>
      <x:c r="B60"/>
      <x:c r="C60"/>
      <x:c r="D60"/>
      <x:c r="E60"/>
      <x:c r="F60"/>
      <x:c r="G60"/>
      <x:c r="H60"/>
      <x:c r="I60"/>
      <x:c r="J60"/>
    </x:row>
    <x:row r="61" ht="93" customHeight="1">
      <x:c r="A61"/>
      <x:c r="B61"/>
      <x:c r="C61"/>
      <x:c r="D61"/>
      <x:c r="E61"/>
      <x:c r="F61"/>
      <x:c r="G61"/>
      <x:c r="H61"/>
      <x:c r="I61"/>
      <x:c r="J61"/>
    </x:row>
    <x:row r="62" ht="70" customHeight="1">
      <x:c r="A62"/>
      <x:c r="B62"/>
      <x:c r="C62"/>
      <x:c r="D62"/>
      <x:c r="E62"/>
      <x:c r="F62"/>
      <x:c r="G62"/>
      <x:c r="H62"/>
      <x:c r="I62"/>
      <x:c r="J62"/>
    </x:row>
    <x:row r="63" ht="79.5" customHeight="1">
      <x:c r="A63"/>
      <x:c r="B63"/>
      <x:c r="C63"/>
      <x:c r="D63"/>
      <x:c r="E63"/>
      <x:c r="F63"/>
      <x:c r="G63"/>
      <x:c r="H63"/>
      <x:c r="I63"/>
      <x:c r="J63"/>
    </x:row>
    <x:row r="64" ht="70" customHeight="1">
      <x:c r="A64"/>
      <x:c r="B64"/>
      <x:c r="C64"/>
      <x:c r="D64"/>
      <x:c r="E64"/>
      <x:c r="F64"/>
      <x:c r="G64"/>
      <x:c r="H64"/>
      <x:c r="I64"/>
      <x:c r="J64"/>
    </x:row>
    <x:row r="65" ht="70" customHeight="1">
      <x:c r="A65"/>
      <x:c r="B65"/>
      <x:c r="C65"/>
      <x:c r="D65"/>
      <x:c r="E65"/>
      <x:c r="F65"/>
      <x:c r="G65"/>
      <x:c r="H65"/>
      <x:c r="I65"/>
      <x:c r="J65"/>
    </x:row>
    <x:row r="66" ht="70" customHeight="1">
      <x:c r="A66"/>
      <x:c r="B66"/>
      <x:c r="C66"/>
      <x:c r="D66"/>
      <x:c r="E66"/>
      <x:c r="F66"/>
      <x:c r="G66"/>
      <x:c r="H66"/>
      <x:c r="I66"/>
      <x:c r="J66"/>
    </x:row>
    <x:row r="67" ht="106.5" customHeight="1">
      <x:c r="A67"/>
      <x:c r="B67"/>
      <x:c r="C67"/>
      <x:c r="D67"/>
      <x:c r="E67"/>
      <x:c r="F67"/>
      <x:c r="G67"/>
      <x:c r="H67"/>
      <x:c r="I67"/>
      <x:c r="J67"/>
    </x:row>
    <x:row r="68" ht="79.5" customHeight="1">
      <x:c r="A68"/>
      <x:c r="B68"/>
      <x:c r="C68"/>
      <x:c r="D68"/>
      <x:c r="E68"/>
      <x:c r="F68"/>
      <x:c r="G68"/>
      <x:c r="H68"/>
      <x:c r="I68"/>
      <x:c r="J68"/>
    </x:row>
    <x:row r="69" ht="79.5" customHeight="1">
      <x:c r="A69"/>
      <x:c r="B69"/>
      <x:c r="C69"/>
      <x:c r="D69"/>
      <x:c r="E69"/>
      <x:c r="F69"/>
      <x:c r="G69"/>
      <x:c r="H69"/>
      <x:c r="I69"/>
      <x:c r="J69"/>
    </x:row>
    <x:row r="70" ht="70" customHeight="1">
      <x:c r="A70"/>
      <x:c r="B70"/>
      <x:c r="C70"/>
      <x:c r="D70"/>
      <x:c r="E70"/>
      <x:c r="F70"/>
      <x:c r="G70"/>
      <x:c r="H70"/>
      <x:c r="I70"/>
      <x:c r="J70"/>
    </x:row>
    <x:row r="71" ht="70" customHeight="1">
      <x:c r="A71"/>
      <x:c r="B71"/>
      <x:c r="C71"/>
      <x:c r="D71"/>
      <x:c r="E71"/>
      <x:c r="F71"/>
      <x:c r="G71"/>
      <x:c r="H71"/>
      <x:c r="I71"/>
      <x:c r="J71"/>
    </x:row>
    <x:row r="72" ht="70" customHeight="1">
      <x:c r="A72"/>
      <x:c r="B72"/>
      <x:c r="C72"/>
      <x:c r="D72"/>
      <x:c r="E72"/>
      <x:c r="F72"/>
      <x:c r="G72"/>
      <x:c r="H72"/>
      <x:c r="I72"/>
      <x:c r="J72"/>
    </x:row>
    <x:row r="73" ht="70" customHeight="1">
      <x:c r="A73"/>
      <x:c r="B73"/>
      <x:c r="C73"/>
      <x:c r="D73"/>
      <x:c r="E73"/>
      <x:c r="F73"/>
      <x:c r="G73"/>
      <x:c r="H73"/>
      <x:c r="I73"/>
      <x:c r="J73"/>
    </x:row>
    <x:row r="74" ht="70" customHeight="1">
      <x:c r="A74"/>
      <x:c r="B74"/>
      <x:c r="C74"/>
      <x:c r="D74"/>
      <x:c r="E74"/>
      <x:c r="F74"/>
      <x:c r="G74"/>
      <x:c r="H74"/>
      <x:c r="I74"/>
      <x:c r="J74"/>
    </x:row>
    <x:row r="75" ht="70" customHeight="1">
      <x:c r="A75"/>
      <x:c r="B75"/>
      <x:c r="C75"/>
      <x:c r="D75"/>
      <x:c r="E75"/>
      <x:c r="F75"/>
      <x:c r="G75"/>
      <x:c r="H75"/>
      <x:c r="I75"/>
      <x:c r="J75"/>
    </x:row>
    <x:row r="76" ht="70" customHeight="1">
      <x:c r="A76"/>
      <x:c r="B76"/>
      <x:c r="C76"/>
      <x:c r="D76"/>
      <x:c r="E76"/>
      <x:c r="F76"/>
      <x:c r="G76"/>
      <x:c r="H76"/>
      <x:c r="I76"/>
      <x:c r="J76"/>
    </x:row>
    <x:row r="77" ht="79.5" customHeight="1">
      <x:c r="A77"/>
      <x:c r="B77"/>
      <x:c r="C77"/>
      <x:c r="D77"/>
      <x:c r="E77"/>
      <x:c r="F77"/>
      <x:c r="G77"/>
      <x:c r="H77"/>
      <x:c r="I77"/>
      <x:c r="J77"/>
    </x:row>
    <x:row r="78" ht="106.5" customHeight="1">
      <x:c r="A78"/>
      <x:c r="B78"/>
      <x:c r="C78"/>
      <x:c r="D78"/>
      <x:c r="E78"/>
      <x:c r="F78"/>
      <x:c r="G78"/>
      <x:c r="H78"/>
      <x:c r="I78"/>
      <x:c r="J78"/>
    </x:row>
    <x:row r="79" ht="70" customHeight="1">
      <x:c r="A79"/>
      <x:c r="B79"/>
      <x:c r="C79"/>
      <x:c r="D79"/>
      <x:c r="E79"/>
      <x:c r="F79"/>
      <x:c r="G79"/>
      <x:c r="H79"/>
      <x:c r="I79"/>
      <x:c r="J79"/>
    </x:row>
    <x:row r="80" ht="79.5" customHeight="1">
      <x:c r="A80"/>
      <x:c r="B80"/>
      <x:c r="C80"/>
      <x:c r="D80"/>
      <x:c r="E80"/>
      <x:c r="F80"/>
      <x:c r="G80"/>
      <x:c r="H80"/>
      <x:c r="I80"/>
      <x:c r="J80"/>
    </x:row>
    <x:row r="81" ht="70" customHeight="1">
      <x:c r="A81"/>
      <x:c r="B81"/>
      <x:c r="C81"/>
      <x:c r="D81"/>
      <x:c r="E81"/>
      <x:c r="F81"/>
      <x:c r="G81"/>
      <x:c r="H81"/>
      <x:c r="I81"/>
      <x:c r="J81"/>
    </x:row>
    <x:row r="82" ht="70" customHeight="1">
      <x:c r="A82"/>
      <x:c r="B82"/>
      <x:c r="C82"/>
      <x:c r="D82"/>
      <x:c r="E82"/>
      <x:c r="F82"/>
      <x:c r="G82"/>
      <x:c r="H82"/>
      <x:c r="I82"/>
      <x:c r="J82"/>
    </x:row>
    <x:row r="83" ht="70" customHeight="1">
      <x:c r="A83"/>
      <x:c r="B83"/>
      <x:c r="C83"/>
      <x:c r="D83"/>
      <x:c r="E83"/>
      <x:c r="F83"/>
      <x:c r="G83"/>
      <x:c r="H83"/>
      <x:c r="I83"/>
      <x:c r="J83"/>
    </x:row>
    <x:row r="84" ht="70" customHeight="1">
      <x:c r="A84"/>
      <x:c r="B84"/>
      <x:c r="C84"/>
      <x:c r="D84"/>
      <x:c r="E84"/>
      <x:c r="F84"/>
      <x:c r="G84"/>
      <x:c r="H84"/>
      <x:c r="I84"/>
      <x:c r="J84"/>
    </x:row>
    <x:row r="85" ht="70" customHeight="1">
      <x:c r="A85"/>
      <x:c r="B85"/>
      <x:c r="C85"/>
      <x:c r="D85"/>
      <x:c r="E85"/>
      <x:c r="F85"/>
      <x:c r="G85"/>
      <x:c r="H85"/>
      <x:c r="I85"/>
      <x:c r="J85"/>
    </x:row>
    <x:row r="86" ht="70" customHeight="1">
      <x:c r="A86"/>
      <x:c r="B86"/>
      <x:c r="C86"/>
      <x:c r="D86"/>
      <x:c r="E86"/>
      <x:c r="F86"/>
      <x:c r="G86"/>
      <x:c r="H86"/>
      <x:c r="I86"/>
      <x:c r="J86"/>
    </x:row>
    <x:row r="87" ht="70" customHeight="1">
      <x:c r="A87"/>
      <x:c r="B87"/>
      <x:c r="C87"/>
      <x:c r="D87"/>
      <x:c r="E87"/>
      <x:c r="F87"/>
      <x:c r="G87"/>
      <x:c r="H87"/>
      <x:c r="I87"/>
      <x:c r="J87"/>
    </x:row>
    <x:row r="88" ht="70" customHeight="1">
      <x:c r="A88"/>
      <x:c r="B88"/>
      <x:c r="C88"/>
      <x:c r="D88"/>
      <x:c r="E88"/>
      <x:c r="F88"/>
      <x:c r="G88"/>
      <x:c r="H88"/>
      <x:c r="I88"/>
      <x:c r="J88"/>
    </x:row>
    <x:row r="89" ht="93" customHeight="1">
      <x:c r="A89"/>
      <x:c r="B89"/>
      <x:c r="C89"/>
      <x:c r="D89"/>
      <x:c r="E89"/>
      <x:c r="F89"/>
      <x:c r="G89"/>
      <x:c r="H89"/>
      <x:c r="I89"/>
      <x:c r="J89"/>
    </x:row>
    <x:row r="90" ht="93" customHeight="1">
      <x:c r="A90"/>
      <x:c r="B90"/>
      <x:c r="C90"/>
      <x:c r="D90"/>
      <x:c r="E90"/>
      <x:c r="F90"/>
      <x:c r="G90"/>
      <x:c r="H90"/>
      <x:c r="I90"/>
      <x:c r="J90"/>
    </x:row>
    <x:row r="91" ht="70" customHeight="1">
      <x:c r="A91"/>
      <x:c r="B91"/>
      <x:c r="C91"/>
      <x:c r="D91"/>
      <x:c r="E91"/>
      <x:c r="F91"/>
      <x:c r="G91"/>
      <x:c r="H91"/>
      <x:c r="I91"/>
      <x:c r="J91"/>
    </x:row>
  </x:sheetData>
  <x:mergeCells>
    <x:mergeCell ref="A1:J1"/>
    <x:mergeCell ref="A2:J2"/>
  </x:mergeCells>
  <x:conditionalFormatting sqref="H5:H43">
    <x:cfRule type="containsText" dxfId="16" priority="1" operator="containsText" text="是"/>
  </x:conditionalFormatting>
  <x:conditionalFormatting sqref="H5:H46">
    <x:cfRule type="containsText" dxfId="31" priority="2" operator="containsText" text="是"/>
  </x:conditionalFormatting>
  <x:conditionalFormatting sqref="H5:H42">
    <x:cfRule type="containsText" dxfId="41" priority="3" operator="containsText" text="是"/>
  </x:conditionalFormatting>
  <x:conditionalFormatting sqref="H5:H50">
    <x:cfRule type="containsText" dxfId="51" priority="4" operator="containsText" text="是"/>
  </x:conditionalFormatting>
  <x:conditionalFormatting sqref="H5:H45">
    <x:cfRule type="containsText" dxfId="61" priority="5" operator="containsText" text="是"/>
  </x:conditionalFormatting>
  <x:conditionalFormatting sqref="H5:H49">
    <x:cfRule type="containsText" dxfId="71" priority="6" operator="containsText" text="是"/>
  </x:conditionalFormatting>
  <x:conditionalFormatting sqref="H5:H62">
    <x:cfRule type="containsText" dxfId="81" priority="7" operator="containsText" text="是"/>
  </x:conditionalFormatting>
  <x:conditionalFormatting sqref="H5:H66">
    <x:cfRule type="containsText" dxfId="91" priority="8" operator="containsText" text="是"/>
  </x:conditionalFormatting>
  <x:conditionalFormatting sqref="H5:H61">
    <x:cfRule type="containsText" dxfId="101" priority="9" operator="containsText" text="是"/>
  </x:conditionalFormatting>
  <x:conditionalFormatting sqref="H5:H48">
    <x:cfRule type="containsText" dxfId="111" priority="10" operator="containsText" text="是"/>
  </x:conditionalFormatting>
  <x:conditionalFormatting sqref="H5:H36">
    <x:cfRule type="containsText" dxfId="121" priority="11" operator="containsText" text="是"/>
  </x:conditionalFormatting>
  <x:conditionalFormatting sqref="H5:H64">
    <x:cfRule type="containsText" dxfId="131" priority="12" operator="containsText" text="是"/>
  </x:conditionalFormatting>
  <x:conditionalFormatting sqref="H5:H74">
    <x:cfRule type="containsText" dxfId="141" priority="13" operator="containsText" text="是"/>
    <x:cfRule type="containsText" dxfId="151" priority="14" operator="containsText" text="是"/>
  </x:conditionalFormatting>
  <x:conditionalFormatting sqref="H5:H91">
    <x:cfRule type="containsText" dxfId="161" priority="15" operator="containsText" text="是"/>
  </x:conditionalFormatting>
  <x:conditionalFormatting sqref="H5:H70">
    <x:cfRule type="containsText" dxfId="171" priority="16" operator="containsText" text="是"/>
  </x:conditionalFormatting>
  <x:conditionalFormatting sqref="H5:H32">
    <x:cfRule type="containsText" dxfId="181" priority="17" operator="containsText" text="是"/>
  </x:conditionalFormatting>
  <x:conditionalFormatting sqref="H5:H33">
    <x:cfRule type="containsText" dxfId="191" priority="18" operator="containsText" text="是"/>
  </x:conditionalFormatting>
  <x:conditionalFormatting sqref="H5:H56">
    <x:cfRule type="containsText" dxfId="201" priority="19" operator="containsText" text="是"/>
    <x:cfRule type="containsText" dxfId="211" priority="20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99893948a9154a5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38" hidden="0" customWidth="1"/>
    <x:col min="5" max="5" width="22" hidden="0" customWidth="1"/>
    <x:col min="6" max="6" width="38" hidden="0" customWidth="1"/>
    <x:col min="7" max="7" width="40" hidden="0" customWidth="1"/>
    <x:col min="8" max="8" width="40" hidden="0" customWidth="1"/>
    <x:col min="9" max="9" width="42" hidden="0" customWidth="1"/>
    <x:col min="10" max="10" width="46" hidden="0" customWidth="1"/>
    <x:col min="11" max="11" width="18" hidden="0" customWidth="1"/>
    <x:col min="12" max="12" width="38" hidden="0" customWidth="1"/>
    <x:col min="13" max="13" width="10" hidden="0" customWidth="1"/>
    <x:col min="14" max="14" width="14" hidden="0" customWidth="1"/>
    <x:col min="15" max="15" width="12" hidden="0" customWidth="1"/>
    <x:col min="16" max="16" width="28" hidden="0" customWidth="1"/>
  </x:cols>
  <x:sheetData>
    <x:row r="1" ht="34" customHeight="1">
      <x:c r="A1" s="1987" t="str">
        <x:v>vLLM 上游功能 / 接口适配管理表</x:v>
      </x:c>
      <x:c r="B1" s="1987"/>
      <x:c r="C1" s="1987"/>
      <x:c r="D1" s="1987"/>
      <x:c r="E1" s="1987"/>
      <x:c r="F1" s="1987"/>
      <x:c r="G1" s="1987"/>
      <x:c r="H1" s="1987"/>
      <x:c r="I1" s="1987"/>
      <x:c r="J1" s="1987"/>
      <x:c r="K1" s="1987"/>
      <x:c r="L1" s="1987"/>
      <x:c r="M1" s="1987"/>
      <x:c r="N1" s="1987"/>
      <x:c r="O1" s="1987"/>
      <x:c r="P1" s="1987"/>
    </x:row>
    <x:row r="2" ht="42" customHeight="1">
      <x:c r="A2" s="1988" t="str">
        <x:v>时间窗：[2026-09-22 01:00:58.960, 2026-09-23 01:01:54.707) Asia/Hong_Kong；纳入16条新增能力、接口或职责边界变化。性能收益另见优化页。</x:v>
      </x:c>
      <x:c r="B2" s="1988"/>
      <x:c r="C2" s="1988"/>
      <x:c r="D2" s="1988"/>
      <x:c r="E2" s="1988"/>
      <x:c r="F2" s="1988"/>
      <x:c r="G2" s="1988"/>
      <x:c r="H2" s="1988"/>
      <x:c r="I2" s="1988"/>
      <x:c r="J2" s="1988"/>
      <x:c r="K2" s="1988"/>
      <x:c r="L2" s="1988"/>
      <x:c r="M2" s="1988"/>
      <x:c r="N2" s="1988"/>
      <x:c r="O2" s="1988"/>
      <x:c r="P2" s="1988"/>
    </x:row>
    <x:row r="4" ht="48" customHeight="1">
      <x:c r="A4" s="1989" t="str">
        <x:v>记录ID</x:v>
      </x:c>
      <x:c r="B4" s="1989" t="str">
        <x:v>PR</x:v>
      </x:c>
      <x:c r="C4" s="1989" t="str">
        <x:v>合入时间</x:v>
      </x:c>
      <x:c r="D4" s="1989" t="str">
        <x:v>标题</x:v>
      </x:c>
      <x:c r="E4" s="1989" t="str">
        <x:v>分类</x:v>
      </x:c>
      <x:c r="F4" s="1989" t="str">
        <x:v>解决的问题</x:v>
      </x:c>
      <x:c r="G4" s="1989" t="str">
        <x:v>上游方案</x:v>
      </x:c>
      <x:c r="H4" s="1989" t="str">
        <x:v>修改原因</x:v>
      </x:c>
      <x:c r="I4" s="1989" t="str">
        <x:v>关键文件</x:v>
      </x:c>
      <x:c r="J4" s="1989" t="str">
        <x:v>Ascend有效关系</x:v>
      </x:c>
      <x:c r="K4" s="1989" t="str">
        <x:v>Ascend结论</x:v>
      </x:c>
      <x:c r="L4" s="1989" t="str">
        <x:v>建议动作</x:v>
      </x:c>
      <x:c r="M4" s="1989" t="str">
        <x:v>优先级</x:v>
      </x:c>
      <x:c r="N4" s="1989" t="str">
        <x:v>状态</x:v>
      </x:c>
      <x:c r="O4" s="1989" t="str">
        <x:v>第一责任人</x:v>
      </x:c>
      <x:c r="P4" s="1989" t="str">
        <x:v>PR证据</x:v>
      </x:c>
    </x:row>
    <x:row r="5" ht="70" customHeight="1">
      <x:c r="A5" s="1985" t="str">
        <x:v>FEAT-57937</x:v>
      </x:c>
      <x:c r="B5" s="1985" t="str">
        <x:v>#57937</x:v>
      </x:c>
      <x:c r="C5" s="1990" t="n">
        <x:v>46287.09446759259</x:v>
      </x:c>
      <x:c r="D5" s="1985" t="str">
        <x:v>[Engram] Drop redundant VLLM_PLE_CPU_OFFLOAD env var</x:v>
      </x:c>
      <x:c r="E5" s="1985" t="str">
        <x:v>Engram配置移除</x:v>
      </x:c>
      <x:c r="F5" s="1983" t="str">
        <x:v>Engram CPU offload存在环境变量与显式配置两个入口。</x:v>
      </x:c>
      <x:c r="G5" s="1983" t="str">
        <x:v>移除VLLM_PLE_CPU_OFFLOAD，cpu_offload固定默认True，显式EngramConfig继续生效。</x:v>
      </x:c>
      <x:c r="H5" s="1983" t="str">
        <x:v>收敛配置事实源；旧环境变量设0不再关闭卸载。</x:v>
      </x:c>
      <x:c r="I5" s="1983" t="str">
        <x:v>vllm/config/engram.py; vllm/envs.py; tests/test_config.py</x:v>
      </x:c>
      <x:c r="J5" s="1983" t="str">
        <x:v>共享env入口删除进入；NPU Engram采用自身host实现，不应再用旧环境开关控制。</x:v>
      </x:c>
      <x:c r="K5" s="1985" t="str">
        <x:v>直接继承</x:v>
      </x:c>
      <x:c r="L5" s="1985" t="str">
        <x:v>排查部署脚本VLLM_PLE_CPU_OFFLOAD，迁移至显式EngramConfig并核对NPU能力。</x:v>
      </x:c>
      <x:c r="M5" s="1985" t="str">
        <x:v>P2</x:v>
      </x:c>
      <x:c r="N5" s="1985" t="str">
        <x:v>待回归</x:v>
      </x:c>
      <x:c r="O5" s="1985" t="str">
        <x:v>韩俊</x:v>
      </x:c>
      <x:c r="P5" s="1983" t="str">
        <x:v>https://github.com/vllm-project/vllm/pull/57937</x:v>
      </x:c>
    </x:row>
    <x:row r="6" ht="70" customHeight="1">
      <x:c r="A6" s="1950" t="str">
        <x:v>FEAT-51360</x:v>
      </x:c>
      <x:c r="B6" s="1950" t="str">
        <x:v>#51360</x:v>
      </x:c>
      <x:c r="C6" s="1991" t="n">
        <x:v>46287.30474537037</x:v>
      </x:c>
      <x:c r="D6" s="1950" t="str">
        <x:v>[Frontend] Add reusable TP1 initialized-engine snapshots</x:v>
      </x:c>
      <x:c r="E6" s="1950" t="str">
        <x:v>初始化快照CLI</x:v>
      </x:c>
      <x:c r="F6" s="1952" t="str">
        <x:v>完整进程退出后重新初始化模型耗时长。</x:v>
      </x:c>
      <x:c r="G6" s="1952" t="str">
        <x:v>新增同机TP1初始化快照，level2释放设备状态后用CRIU/CUDA恢复，再用确定性token oracle验收。</x:v>
      </x:c>
      <x:c r="H6" s="1952" t="str">
        <x:v>复用初始化状态以缩短激活；限制Linux x86_64单Nvidia卡同机同环境，非通用跨平台快照。</x:v>
      </x:c>
      <x:c r="I6" s="1952" t="str">
        <x:v>vllm/entrypoints/cli/main.py; vllm/entrypoints/cli/snapshot.py; vllm/snapshot/__init__.py; vllm/snapshot/controller.py; vllm/snapshot/manifest.py; vllm/snapshot/runtime.py</x:v>
      </x:c>
      <x:c r="J6" s="1952" t="str">
        <x:v>新增snapshot依赖CRIU CUDA plugin及单Nvidia GPU；NPU rfork只是权重共享，不是进程快照等价实现。</x:v>
      </x:c>
      <x:c r="K6" s="1950" t="str">
        <x:v>当前不适用</x:v>
      </x:c>
      <x:c r="L6" s="1950" t="str">
        <x:v>保留NPU既有loader；先评估驱动/进程恢复能力，再规划独立POC。</x:v>
      </x:c>
      <x:c r="M6" s="1950" t="str">
        <x:v>P3</x:v>
      </x:c>
      <x:c r="N6" s="1950" t="str">
        <x:v>静态闭环</x:v>
      </x:c>
      <x:c r="O6" s="1950" t="str">
        <x:v>徐驰</x:v>
      </x:c>
      <x:c r="P6" s="1952" t="str">
        <x:v>https://github.com/vllm-project/vllm/pull/51360</x:v>
      </x:c>
    </x:row>
    <x:row r="7" ht="79.5" customHeight="1">
      <x:c r="A7" s="1985" t="str">
        <x:v>FEAT-55390</x:v>
      </x:c>
      <x:c r="B7" s="1985" t="str">
        <x:v>#55390</x:v>
      </x:c>
      <x:c r="C7" s="1990" t="n">
        <x:v>46287.355162037034</x:v>
      </x:c>
      <x:c r="D7" s="1985" t="str">
        <x:v>[Bugfix] Annotate MTP draft KV cache groups positionally on the hybrid grouping path</x:v>
      </x:c>
      <x:c r="E7" s="1985" t="str">
        <x:v>KV分组关键字变更</x:v>
      </x:c>
      <x:c r="F7" s="1983" t="str">
        <x:v>混合Attention/Mamba MTP通用分组漏标draft，外部卸载未保护易变尾块。</x:v>
      </x:c>
      <x:c r="G7" s="1983" t="str">
        <x:v>packed和general路径采用末层定位并检查分组恰好覆盖所有层，替换注解函数关键字。</x:v>
      </x:c>
      <x:c r="H7" s="1983" t="str">
        <x:v>让MTP draft组获得volatile尾块处理；跨多组draft只标末组仍有限制。</x:v>
      </x:c>
      <x:c r="I7" s="1983" t="str">
        <x:v>vllm/v1/core/kv_cache_utils.py; tests/v1/core/test_kv_cache_utils.py</x:v>
      </x:c>
      <x:c r="J7" s="1983" t="str">
        <x:v>patch_kv_cache_utils.py:_ascend_get_packed_kv_cache_groups仍以use_deepseek_v4_fallback=True调用共享_annotate_eagle_groups；目标上游已改名为use_trailing_layer_fallback，packed NPU分组会触发意外关键字TypeError。通用分组经原函数可继承，但不可覆盖此断点。</x:v>
      </x:c>
      <x:c r="K7" s="1985" t="str">
        <x:v>需要适配</x:v>
      </x:c>
      <x:c r="L7" s="1985" t="str">
        <x:v>同步关键字并按_uses_trailing_mtp_layers及精确partition约束确定值，覆盖DSV4/4.1 DSpark、Qwen hybrid MTP、目标/draft共享组、多组draft及offload尾块。</x:v>
      </x:c>
      <x:c r="M7" s="1985" t="str">
        <x:v>P1</x:v>
      </x:c>
      <x:c r="N7" s="1985" t="str">
        <x:v>待适配</x:v>
      </x:c>
      <x:c r="O7" s="1985" t="str">
        <x:v>曾彦嘉</x:v>
      </x:c>
      <x:c r="P7" s="1983" t="str">
        <x:v>https://github.com/vllm-project/vllm/pull/55390</x:v>
      </x:c>
    </x:row>
    <x:row r="8" ht="70" customHeight="1">
      <x:c r="A8" s="1950" t="str">
        <x:v>FEAT-54867</x:v>
      </x:c>
      <x:c r="B8" s="1950" t="str">
        <x:v>#54867</x:v>
      </x:c>
      <x:c r="C8" s="1991" t="n">
        <x:v>46287.40053240741</x:v>
      </x:c>
      <x:c r="D8" s="1950" t="str">
        <x:v>[CI] Add pre-commit check that new tests are tethered to Buildkite jobs</x:v>
      </x:c>
      <x:c r="E8" s="1950" t="str">
        <x:v>测试覆盖门禁</x:v>
      </x:c>
      <x:c r="F8" s="1952" t="str">
        <x:v>新增测试文件能够合入却不被任何Buildkite job执行。</x:v>
      </x:c>
      <x:c r="G8" s="1952" t="str">
        <x:v>pre-commit解析CI命令、wrapper及白名单，检查测试与job连接。</x:v>
      </x:c>
      <x:c r="H8" s="1952" t="str">
        <x:v>防止测试覆盖成为空声明；这是质量门禁而非推理性能优化。</x:v>
      </x:c>
      <x:c r="I8" s="1952" t="str">
        <x:v>.buildkite/test_areas/misc.yaml; .pre-commit-config.yaml; docker/Dockerfile.cpu; tests/tools/test_check_test_tethering.py; tools/__init__.py; tools/pre_commit/__init__.py</x:v>
      </x:c>
      <x:c r="J8" s="1952" t="str">
        <x:v>Ascend使用独立CI/workflows而非上游Buildkite job目录；测试与执行命令关联检查不会自动进入。</x:v>
      </x:c>
      <x:c r="K8" s="1950" t="str">
        <x:v>需要适配</x:v>
      </x:c>
      <x:c r="L8" s="1950" t="str">
        <x:v>适配本仓CI命令解析，建立测试文件到job映射；覆盖wrapper、过滤参数、白名单失效与新增漏挂测试。</x:v>
      </x:c>
      <x:c r="M8" s="1950" t="str">
        <x:v>P1</x:v>
      </x:c>
      <x:c r="N8" s="1950" t="str">
        <x:v>待适配</x:v>
      </x:c>
      <x:c r="O8" s="1950" t="str">
        <x:v>张新悦</x:v>
      </x:c>
      <x:c r="P8" s="1952" t="str">
        <x:v>https://github.com/vllm-project/vllm/pull/54867</x:v>
      </x:c>
    </x:row>
    <x:row r="9" ht="106.5" customHeight="1">
      <x:c r="A9" s="1985" t="str">
        <x:v>FEAT-57312</x:v>
      </x:c>
      <x:c r="B9" s="1985" t="str">
        <x:v>#57312</x:v>
      </x:c>
      <x:c r="C9" s="1990" t="n">
        <x:v>46287.4678125</x:v>
      </x:c>
      <x:c r="D9" s="1985" t="str">
        <x:v>[Fast Start] Cache the MTP draft model in a separate daemon group</x:v>
      </x:c>
      <x:c r="E9" s="1985" t="str">
        <x:v>draft缓存角色</x:v>
      </x:c>
      <x:c r="F9" s="1983" t="str">
        <x:v>IPC权重缓存把draft送入target daemon或重读磁盘。</x:v>
      </x:c>
      <x:c r="G9" s="1983" t="str">
        <x:v>独立draft daemon、socket及缓存key，导出加载属性；最终代码支持mtp/eagle/eagle3，其余回退磁盘。</x:v>
      </x:c>
      <x:c r="H9" s="1983" t="str">
        <x:v>模型角色和指纹必须隔离；正文MTP-only描述落后于最终diff。</x:v>
      </x:c>
      <x:c r="I9" s="1983" t="str">
        <x:v>vllm/config/speculative.py; vllm/model_executor/model_loader/utils.py; vllm/model_executor/model_loader/weight_cache/__init__.py; vllm/model_executor/model_loader/weight_cache/daemon.py; vllm/model_executor/model_loader/weight_cache/ipc_loader.py; vllm/model_executor/model_loader/weight_cache/protocol.py</x:v>
      </x:c>
      <x:c r="J9" s="1983" t="str">
        <x:v>上游weight_cache/protocol.check_ipc_platform_support只允许is_cuda_alike；NPU不走CUDA IPC loader，现有rfork和NPU IPC权重传输不是此daemon协议。优化思想另列POC。</x:v>
      </x:c>
      <x:c r="K9" s="1985" t="str">
        <x:v>当前不适用</x:v>
      </x:c>
      <x:c r="L9" s="1985" t="str">
        <x:v>若扩展NPU权重缓存，单独设计target/draft指纹与tensor共享协议，不能复用CUDA IPC句柄。</x:v>
      </x:c>
      <x:c r="M9" s="1985" t="str">
        <x:v>P3</x:v>
      </x:c>
      <x:c r="N9" s="1985" t="str">
        <x:v>静态闭环</x:v>
      </x:c>
      <x:c r="O9" s="1985" t="str">
        <x:v>徐驰</x:v>
      </x:c>
      <x:c r="P9" s="1983" t="str">
        <x:v>https://github.com/vllm-project/vllm/pull/57312</x:v>
      </x:c>
    </x:row>
    <x:row r="10" ht="93" customHeight="1">
      <x:c r="A10" s="1950" t="str">
        <x:v>FEAT-57933</x:v>
      </x:c>
      <x:c r="B10" s="1950" t="str">
        <x:v>#57933</x:v>
      </x:c>
      <x:c r="C10" s="1991" t="n">
        <x:v>46287.51886574074</x:v>
      </x:c>
      <x:c r="D10" s="1950" t="str">
        <x:v>[Rust Frontend] Add MiMo V2.6 parser support</x:v>
      </x:c>
      <x:c r="E10" s="1950" t="str">
        <x:v>Rust MiMo协议</x:v>
      </x:c>
      <x:c r="F10" s="1952" t="str">
        <x:v>Rust前端缺MiMo裸reasoning分隔和function/parameter工具协议。</x:v>
      </x:c>
      <x:c r="G10" s="1952" t="str">
        <x:v>增加MiMo选择、空白保留、None按schema转换及主模板发现修复。</x:v>
      </x:c>
      <x:c r="H10" s="1952" t="str">
        <x:v>以真实模板验证流式往返，不把其他Qwen JSON语法直接套入。</x:v>
      </x:c>
      <x:c r="I10" s="1952" t="str">
        <x:v>rust/src/chat/src/lib.rs; rust/src/chat/src/output/default/structural_tag.rs; rust/src/chat/src/parser/reasoning/mod.rs; rust/src/chat/src/parser/tool/mod.rs; rust/src/chat/src/parser/tool/tests.rs; rust/src/chat/tests/roundtrip.rs</x:v>
      </x:c>
      <x:c r="J10" s="1952" t="str">
        <x:v>变更位于Rust parser/chat和模板发现；Ascend以共享Python服务为主，pinned源码无法证明实际部署已使用Rust MiMo入口。共享Rust前端能力可承接，但可达性须确认。</x:v>
      </x:c>
      <x:c r="K10" s="1950" t="str">
        <x:v>待验证</x:v>
      </x:c>
      <x:c r="L10" s="1950" t="str">
        <x:v>先确认NPU部署是否启用vllm-rs及MiMo模型；对真实模板运行reasoning/tool流式往返、None schema与root模板优先级测试。</x:v>
      </x:c>
      <x:c r="M10" s="1950" t="str">
        <x:v>P3</x:v>
      </x:c>
      <x:c r="N10" s="1950" t="str">
        <x:v>待POC</x:v>
      </x:c>
      <x:c r="O10" s="1950" t="str">
        <x:v>冀元祎</x:v>
      </x:c>
      <x:c r="P10" s="1952" t="str">
        <x:v>https://github.com/vllm-project/vllm/pull/57933</x:v>
      </x:c>
    </x:row>
    <x:row r="11" ht="70" customHeight="1">
      <x:c r="A11" s="1985" t="str">
        <x:v>FEAT-57891</x:v>
      </x:c>
      <x:c r="B11" s="1985" t="str">
        <x:v>#57891</x:v>
      </x:c>
      <x:c r="C11" s="1990" t="n">
        <x:v>46287.52564814815</x:v>
      </x:c>
      <x:c r="D11" s="1985" t="str">
        <x:v>[RL][Sleep] Retain frozen weights across level-2 sleep</x:v>
      </x:c>
      <x:c r="E11" s="1985" t="str">
        <x:v>冻结权重保留配置</x:v>
      </x:c>
      <x:c r="F11" s="1983" t="str">
        <x:v>level2 sleep丢弃训练端不再发送的冻结权重，唤醒后失效。</x:v>
      </x:c>
      <x:c r="G11" s="1983" t="str">
        <x:v>新增参数名glob，sleep备份选定设备参数到CPU，weights wake原位恢复并清理备份。</x:v>
      </x:c>
      <x:c r="H11" s="1983" t="str">
        <x:v>冻结参数和buffer不同；须保持storage、限制host容量并由trainer跳过更新。</x:v>
      </x:c>
      <x:c r="I11" s="1983" t="str">
        <x:v>vllm/config/model.py; vllm/engine/arg_utils.py; vllm/v1/worker/gpu_worker.py; docs/features/sleep_mode.md; tests/v1/worker/test_sleep_mode_backend.py</x:v>
      </x:c>
      <x:c r="J11" s="1983" t="str">
        <x:v>Ascend worker.py自有sleep/wake_up，仅备份named_buffers，CaMemAllocator level2丢弃weights；未读取新sleep_preserve_parameter_names，也无named_parameters备份。trainer省略冻结参数时缺口确定。</x:v>
      </x:c>
      <x:c r="K11" s="1985" t="str">
        <x:v>需要适配</x:v>
      </x:c>
      <x:c r="L11" s="1985" t="str">
        <x:v>在NPU sleep前按glob备份选中参数、weights wake原位恢复并释放；验证未匹配报错、CPU权重、三轮sleep、图地址稳定及host容量，trainer必须不覆盖保留权重。</x:v>
      </x:c>
      <x:c r="M11" s="1985" t="str">
        <x:v>P1</x:v>
      </x:c>
      <x:c r="N11" s="1985" t="str">
        <x:v>待适配</x:v>
      </x:c>
      <x:c r="O11" s="1985" t="str">
        <x:v>刘荣</x:v>
      </x:c>
      <x:c r="P11" s="1983" t="str">
        <x:v>https://github.com/vllm-project/vllm/pull/57891</x:v>
      </x:c>
    </x:row>
    <x:row r="12" ht="70" customHeight="1">
      <x:c r="A12" s="1950" t="str">
        <x:v>FEAT-58065</x:v>
      </x:c>
      <x:c r="B12" s="1950" t="str">
        <x:v>#58065</x:v>
      </x:c>
      <x:c r="C12" s="1991" t="n">
        <x:v>46287.54565972222</x:v>
      </x:c>
      <x:c r="D12" s="1950" t="str">
        <x:v>[Spec Decode] Enable async scheduling for DFlash</x:v>
      </x:c>
      <x:c r="E12" s="1950" t="str">
        <x:v>DFlash异步组合</x:v>
      </x:c>
      <x:c r="F12" s="1952" t="str">
        <x:v>DFlash被排除异步调度，CPU调度与decode不能重叠。</x:v>
      </x:c>
      <x:c r="G12" s="1952" t="str">
        <x:v>在显式开关及默认自动开关两处将dflash加入允许列表。</x:v>
      </x:c>
      <x:c r="H12" s="1952" t="str">
        <x:v>MRV2已有通用异步张量路径，仍须按NPU实际runner组合验证。</x:v>
      </x:c>
      <x:c r="I12" s="1952" t="str">
        <x:v>vllm/config/vllm.py; tests/test_config.py</x:v>
      </x:c>
      <x:c r="J12" s="1952" t="str">
        <x:v>共享allowlist进入，但Ascend默认仍是V1，另有NPU DFlash/V2实现；不能把上游默认MRV2视为NPU默认。</x:v>
      </x:c>
      <x:c r="K12" s="1950" t="str">
        <x:v>待验证</x:v>
      </x:c>
      <x:c r="L12" s="1950" t="str">
        <x:v>分别显式开启V2和V1测试异步输出/拒绝采样，记录支持矩阵，不支持组合明确拒绝。</x:v>
      </x:c>
      <x:c r="M12" s="1950" t="str">
        <x:v>P3</x:v>
      </x:c>
      <x:c r="N12" s="1950" t="str">
        <x:v>待POC</x:v>
      </x:c>
      <x:c r="O12" s="1950" t="str">
        <x:v>李泽桐</x:v>
      </x:c>
      <x:c r="P12" s="1952" t="str">
        <x:v>https://github.com/vllm-project/vllm/pull/58065</x:v>
      </x:c>
    </x:row>
    <x:row r="13" ht="70" customHeight="1">
      <x:c r="A13" s="1985" t="str">
        <x:v>FEAT-51922</x:v>
      </x:c>
      <x:c r="B13" s="1985" t="str">
        <x:v>#51922</x:v>
      </x:c>
      <x:c r="C13" s="1990" t="n">
        <x:v>46287.547638888886</x:v>
      </x:c>
      <x:c r="D13" s="1985" t="str">
        <x:v>[Rust Frontend] Add mm-processor benchmark</x:v>
      </x:c>
      <x:c r="E13" s="1985" t="str">
        <x:v>Rust多模态基准</x:v>
      </x:c>
      <x:c r="F13" s="1983" t="str">
        <x:v>Rust多模态预处理缺少可重复分阶段时延基准。</x:v>
      </x:c>
      <x:c r="G13" s="1983" t="str">
        <x:v>新增request timing及mm-processor benchmark，支持并发预热和JSON。</x:v>
      </x:c>
      <x:c r="H13" s="1983" t="str">
        <x:v>隔离fetch/预处理/展开开销；当前仍需要headless engine，不是无权重离线工具。</x:v>
      </x:c>
      <x:c r="I13" s="1983" t="str">
        <x:v>rust/Cargo.lock; rust/src/bench/AGENTS.md; rust/src/bench/Cargo.toml; rust/src/bench/README.md; rust/src/bench/src/lib.rs; rust/src/bench/src/main.rs</x:v>
      </x:c>
      <x:c r="J13" s="1983" t="str">
        <x:v>Rust前端新增基准不等同NPU Python前端工具；与headless NPU engine联调尚无本次证据。</x:v>
      </x:c>
      <x:c r="K13" s="1985" t="str">
        <x:v>待验证</x:v>
      </x:c>
      <x:c r="L13" s="1985" t="str">
        <x:v>验证NPU headless启动/关闭和阶段计时，保持计时默认关闭，勿当性能优化收益。</x:v>
      </x:c>
      <x:c r="M13" s="1985" t="str">
        <x:v>P3</x:v>
      </x:c>
      <x:c r="N13" s="1985" t="str">
        <x:v>待POC</x:v>
      </x:c>
      <x:c r="O13" s="1985" t="str">
        <x:v>龙钢</x:v>
      </x:c>
      <x:c r="P13" s="1983" t="str">
        <x:v>https://github.com/vllm-project/vllm/pull/51922</x:v>
      </x:c>
    </x:row>
    <x:row r="14" ht="79.5" customHeight="1">
      <x:c r="A14" s="1950" t="str">
        <x:v>FEAT-55269</x:v>
      </x:c>
      <x:c r="B14" s="1950" t="str">
        <x:v>#55269</x:v>
      </x:c>
      <x:c r="C14" s="1991" t="n">
        <x:v>46287.56606481481</x:v>
      </x:c>
      <x:c r="D14" s="1950" t="str">
        <x:v>[Rust Frontend] Introduce parser-owned output grammar interfaces</x:v>
      </x:c>
      <x:c r="E14" s="1950" t="str">
        <x:v>Rust grammar接口迁移</x:v>
      </x:c>
      <x:c r="F14" s="1952" t="str">
        <x:v>工具grammar在parser获得最终prompt状态前构造，无法支持完整输出语法。</x:v>
      </x:c>
      <x:c r="G14" s="1952" t="str">
        <x:v>新增parser-owned grammar接口，将初始化和grammar构造移至tokenize后；删除旧UnifiedParser接口。</x:v>
      </x:c>
      <x:c r="H14" s="1952" t="str">
        <x:v>按实际初始状态构建语法；初始化失败改为提交前拒绝。</x:v>
      </x:c>
      <x:c r="I14" s="1952" t="str">
        <x:v>rust/Cargo.lock; rust/src/chat/src/error.rs; rust/src/chat/src/lib.rs; rust/src/chat/src/output/default/mod.rs; rust/src/chat/src/output/default/structural_tag.rs; rust/src/chat/src/output/default/unified.rs</x:v>
      </x:c>
      <x:c r="J14" s="1952" t="str">
        <x:v>Rust新trait及tokenize后初始化不修改NPU Python parser；外部Rust集成消费者是否使用旧trait需部署侧确认。</x:v>
      </x:c>
      <x:c r="K14" s="1950" t="str">
        <x:v>待验证</x:v>
      </x:c>
      <x:c r="L14" s="1950" t="str">
        <x:v>使用最终prompt tokens调用initialize再build_output_grammar，初始化失败应在提交前返回。</x:v>
      </x:c>
      <x:c r="M14" s="1950" t="str">
        <x:v>P3</x:v>
      </x:c>
      <x:c r="N14" s="1950" t="str">
        <x:v>待POC</x:v>
      </x:c>
      <x:c r="O14" s="1950" t="str">
        <x:v>温劲</x:v>
      </x:c>
      <x:c r="P14" s="1952" t="str">
        <x:v>https://github.com/vllm-project/vllm/pull/55269</x:v>
      </x:c>
    </x:row>
    <x:row r="15" ht="93" customHeight="1">
      <x:c r="A15" s="1985" t="str">
        <x:v>FEAT-57340</x:v>
      </x:c>
      <x:c r="B15" s="1985" t="str">
        <x:v>#57340</x:v>
      </x:c>
      <x:c r="C15" s="1990" t="n">
        <x:v>46287.5916087963</x:v>
      </x:c>
      <x:c r="D15" s="1985" t="str">
        <x:v>[Rust Frontend] Build full-output grammars from initialized reasoning parsers</x:v>
      </x:c>
      <x:c r="E15" s="1985" t="str">
        <x:v>完整输出grammar</x:v>
      </x:c>
      <x:c r="F15" s="1983" t="str">
        <x:v>Rust严格工具语法仅约束reasoning结束之后的输出。</x:v>
      </x:c>
      <x:c r="G15" s="1983" t="str">
        <x:v>从初始化后的reasoning parser构造包装grammar并启用FromTokenZero。</x:v>
      </x:c>
      <x:c r="H15" s="1983" t="str">
        <x:v>确保reasoning关闭和工具输出连续约束；K3/Gemma4/Harmony等未纳入。</x:v>
      </x:c>
      <x:c r="I15" s="1983" t="str">
        <x:v>rust/src/parser/src/output_grammar.rs; rust/src/parser/src/reasoning/deepseek_r1.rs; rust/src/parser/src/reasoning/deepseek_v3.rs; rust/src/parser/src/reasoning/delimited.rs; rust/src/parser/src/reasoning/glm45.rs; rust/src/parser/src/reasoning/hy.rs</x:v>
      </x:c>
      <x:c r="J15" s="1983" t="str">
        <x:v>依赖同窗#55269，仅指定Rust parser开启FromTokenZero；NPU Python reasoning逻辑不自动变为Rust语法。</x:v>
      </x:c>
      <x:c r="K15" s="1985" t="str">
        <x:v>待验证</x:v>
      </x:c>
      <x:c r="L15" s="1985" t="str">
        <x:v>在实际Rust+NPU组合验证reasoning闭合、工具调用、截断及不支持模型回退。</x:v>
      </x:c>
      <x:c r="M15" s="1985" t="str">
        <x:v>P3</x:v>
      </x:c>
      <x:c r="N15" s="1985" t="str">
        <x:v>待POC</x:v>
      </x:c>
      <x:c r="O15" s="1985" t="str">
        <x:v>温劲</x:v>
      </x:c>
      <x:c r="P15" s="1983" t="str">
        <x:v>https://github.com/vllm-project/vllm/pull/57340</x:v>
      </x:c>
    </x:row>
    <x:row r="16" ht="93" customHeight="1">
      <x:c r="A16" s="1950" t="str">
        <x:v>FEAT-57428</x:v>
      </x:c>
      <x:c r="B16" s="1950" t="str">
        <x:v>#57428</x:v>
      </x:c>
      <x:c r="C16" s="1991" t="n">
        <x:v>46287.67173611111</x:v>
      </x:c>
      <x:c r="D16" s="1950" t="str">
        <x:v>[Kernel][DSV4.1] Fuse MXFP8 wo_b GEMM with sequence-parallel reduce-scatter</x:v>
      </x:c>
      <x:c r="E16" s="1950" t="str">
        <x:v>GEMM-RS环境开关</x:v>
      </x:c>
      <x:c r="F16" s="1952" t="str">
        <x:v>DSV4.1 SP wo_b矩阵乘后单独reduce-scatter产生launch与HBM往返。</x:v>
      </x:c>
      <x:c r="G16" s="1952" t="str">
        <x:v>SM100 MXFP8 GEMM-RS融合，统一共享workspace与门禁，默认关闭并按shape回退。</x:v>
      </x:c>
      <x:c r="H16" s="1952" t="str">
        <x:v>融合计算通信；小M握手开销会更慢，不能忽略阈值与数值舍入差异。</x:v>
      </x:c>
      <x:c r="I16" s="1952" t="str">
        <x:v>vllm/cute_utils/_tcgen05.py; vllm/envs.py; vllm/model_executor/kernels/linear/cute_dsl/gemm_rs_ar.py; vllm/model_executor/warmup/kernel_warmup.py; vllm/models/deepseek_v4/nvidia/ops/o_proj.py; vllm/models/deepseek_v41/attention.py</x:v>
      </x:c>
      <x:c r="J16" s="1952" t="str">
        <x:v>旧VLLM_KIMI_K3_GEMM_RS合并为VLLM_ENABLE_GEMM_RS控制SM100内核；NPU自有HCCL路径不消费该内核开关。</x:v>
      </x:c>
      <x:c r="K16" s="1950" t="str">
        <x:v>当前不适用</x:v>
      </x:c>
      <x:c r="L16" s="1950" t="str">
        <x:v>部署若保留旧GPU脚本须更新；NPU GEMM通信融合走独立配置与能力门禁。</x:v>
      </x:c>
      <x:c r="M16" s="1950" t="str">
        <x:v>P3</x:v>
      </x:c>
      <x:c r="N16" s="1950" t="str">
        <x:v>静态闭环</x:v>
      </x:c>
      <x:c r="O16" s="1950" t="str">
        <x:v>毛琦</x:v>
      </x:c>
      <x:c r="P16" s="1952" t="str">
        <x:v>https://github.com/vllm-project/vllm/pull/57428</x:v>
      </x:c>
    </x:row>
    <x:row r="17" ht="70" customHeight="1">
      <x:c r="A17" s="1985" t="str">
        <x:v>FEAT-56547</x:v>
      </x:c>
      <x:c r="B17" s="1985" t="str">
        <x:v>#56547</x:v>
      </x:c>
      <x:c r="C17" s="1990" t="n">
        <x:v>46287.73420138889</x:v>
      </x:c>
      <x:c r="D17" s="1985" t="str">
        <x:v>[CPU] Add device-memory-utilization CLI alias</x:v>
      </x:c>
      <x:c r="E17" s="1985" t="str">
        <x:v>设备内存CLI别名</x:v>
      </x:c>
      <x:c r="F17" s="1983" t="str">
        <x:v>CPU用户使用gpu-memory-utilization名称易误解。</x:v>
      </x:c>
      <x:c r="G17" s="1983" t="str">
        <x:v>新增device-memory-utilization别名，仍写原字段。</x:v>
      </x:c>
      <x:c r="H17" s="1983" t="str">
        <x:v>统一设备无关CLI语义，不改变内存计算算法。</x:v>
      </x:c>
      <x:c r="I17" s="1983" t="str">
        <x:v>vllm/config/cache.py; vllm/engine/arg_utils.py; tests/engine/test_arg_utils.py</x:v>
      </x:c>
      <x:c r="J17" s="1983" t="str">
        <x:v>共享EngineArgs解析别名仍映射gpu_memory_utilization，NPU继续读取同字段。</x:v>
      </x:c>
      <x:c r="K17" s="1985" t="str">
        <x:v>直接继承</x:v>
      </x:c>
      <x:c r="L17" s="1985" t="str">
        <x:v>新旧参数各启动一次，核对内存预算一致；明确同时指定时解析规则。</x:v>
      </x:c>
      <x:c r="M17" s="1985" t="str">
        <x:v>P2</x:v>
      </x:c>
      <x:c r="N17" s="1985" t="str">
        <x:v>待回归</x:v>
      </x:c>
      <x:c r="O17" s="1985" t="str">
        <x:v>韩俊</x:v>
      </x:c>
      <x:c r="P17" s="1983" t="str">
        <x:v>https://github.com/vllm-project/vllm/pull/56547</x:v>
      </x:c>
    </x:row>
    <x:row r="18" ht="70" customHeight="1">
      <x:c r="A18" s="1950" t="str">
        <x:v>FEAT-58109</x:v>
      </x:c>
      <x:c r="B18" s="1950" t="str">
        <x:v>#58109</x:v>
      </x:c>
      <x:c r="C18" s="1991" t="n">
        <x:v>46287.75131944445</x:v>
      </x:c>
      <x:c r="D18" s="1950" t="str">
        <x:v>[Rust Frontend] Construct model-owned vision processors through specs</x:v>
      </x:c>
      <x:c r="E18" s="1950" t="str">
        <x:v>Rust视觉processor生命周期</x:v>
      </x:c>
      <x:c r="F18" s="1952" t="str">
        <x:v>Rust视觉processor构造和所有权不在模型生命周期统一管理。</x:v>
      </x:c>
      <x:c r="G18" s="1952" t="str">
        <x:v>模型加载按spec构造图像/视频processor，Arc复用并更新依赖。</x:v>
      </x:c>
      <x:c r="H18" s="1952" t="str">
        <x:v>统一配置隔离和错误传播；未提供独立构造复用的性能A/B。</x:v>
      </x:c>
      <x:c r="I18" s="1952" t="str">
        <x:v>rust/Cargo.lock; rust/Cargo.toml; rust/src/chat/src/multimodal.rs; rust/src/chat/src/multimodal/image.rs; rust/src/chat/src/multimodal/video.rs</x:v>
      </x:c>
      <x:c r="J18" s="1952" t="str">
        <x:v>只改Rust model spec与Arc所有权，NPU Python processor未迁移；需要实际Rust部署链确认。</x:v>
      </x:c>
      <x:c r="K18" s="1950" t="str">
        <x:v>待验证</x:v>
      </x:c>
      <x:c r="L18" s="1950" t="str">
        <x:v>对模型切换、图像视频并发及UnsupportedModality测试配置隔离，比较处理结果。</x:v>
      </x:c>
      <x:c r="M18" s="1950" t="str">
        <x:v>P3</x:v>
      </x:c>
      <x:c r="N18" s="1950" t="str">
        <x:v>待POC</x:v>
      </x:c>
      <x:c r="O18" s="1950" t="str">
        <x:v>龙钢</x:v>
      </x:c>
      <x:c r="P18" s="1952" t="str">
        <x:v>https://github.com/vllm-project/vllm/pull/58109</x:v>
      </x:c>
    </x:row>
    <x:row r="19" ht="70" customHeight="1">
      <x:c r="A19" s="1985" t="str">
        <x:v>FEAT-56250</x:v>
      </x:c>
      <x:c r="B19" s="1985" t="str">
        <x:v>#56250</x:v>
      </x:c>
      <x:c r="C19" s="1990" t="n">
        <x:v>46287.91673611111</x:v>
      </x:c>
      <x:c r="D19" s="1985" t="str">
        <x:v>[Bugfix][Structured Output] Disallow MRV1 + PP&gt;1 + async sched + structured output</x:v>
      </x:c>
      <x:c r="E19" s="1985" t="str">
        <x:v>MRV1 PP异步支持收缩</x:v>
      </x:c>
      <x:c r="F19" s="1983" t="str">
        <x:v>MRV1 PP&gt;1异步结构化输出FSM未等前步完成而失败。</x:v>
      </x:c>
      <x:c r="G19" s="1983" t="str">
        <x:v>自动异步时关闭不支持组合，显式启用则加入V1 unsupported列表。</x:v>
      </x:c>
      <x:c r="H19" s="1983" t="str">
        <x:v>选择明确拒绝而非扩展旧runner；最终仅禁PP+async，不是禁所有PP。</x:v>
      </x:c>
      <x:c r="I19" s="1983" t="str">
        <x:v>vllm/config/vllm.py; tests/test_config.py</x:v>
      </x:c>
      <x:c r="J19" s="1983" t="str">
        <x:v>Ascend patch_use_v2_model_runner的V1 unsupported wrapper调用原函数，只移除dspark和dflash2条目，不移除pipeline parallelism with async scheduling；新拒绝生效，自动异步关闭也在共享配置。</x:v>
      </x:c>
      <x:c r="K19" s="1985" t="str">
        <x:v>直接继承</x:v>
      </x:c>
      <x:c r="L19" s="1985" t="str">
        <x:v>NPU默认V1的PP&gt;1自动async关闭，显式async应拒绝；PP1/MRV2组合单独回归，不能把PR正文过时的禁所有PP解释为最终行为。</x:v>
      </x:c>
      <x:c r="M19" s="1985" t="str">
        <x:v>P2</x:v>
      </x:c>
      <x:c r="N19" s="1985" t="str">
        <x:v>待回归</x:v>
      </x:c>
      <x:c r="O19" s="1985" t="str">
        <x:v>田馥玮</x:v>
      </x:c>
      <x:c r="P19" s="1983" t="str">
        <x:v>https://github.com/vllm-project/vllm/pull/56250</x:v>
      </x:c>
    </x:row>
    <x:row r="20" ht="70" customHeight="1">
      <x:c r="A20" s="1950" t="str">
        <x:v>FEAT-58150</x:v>
      </x:c>
      <x:c r="B20" s="1950" t="str">
        <x:v>#58150</x:v>
      </x:c>
      <x:c r="C20" s="1991" t="n">
        <x:v>46287.965046296296</x:v>
      </x:c>
      <x:c r="D20" s="1950" t="str">
        <x:v>[Bugfix] Narrow AuxOutput KV restrictions to known PD connectors</x:v>
      </x:c>
      <x:c r="E20" s="1950" t="str">
        <x:v>AuxOutput KV能力策略</x:v>
      </x:c>
      <x:c r="F20" s="1952" t="str">
        <x:v>AuxOutput一律拒绝KV connector，误伤KV offload组合。</x:v>
      </x:c>
      <x:c r="G20" s="1952" t="str">
        <x:v>使用has_connector只拒绝五个已知PD connector且递归MultiConnector。</x:v>
      </x:c>
      <x:c r="H20" s="1952" t="str">
        <x:v>按协议能力约束；放行不代表历史KV和R3联合恢复已验证。</x:v>
      </x:c>
      <x:c r="I20" s="1952" t="str">
        <x:v>vllm/config/vllm.py; tests/config/test_aux_output_config.py</x:v>
      </x:c>
      <x:c r="J20" s="1952" t="str">
        <x:v>上游仅按五个已知PD名称拒绝，Ascend自有PD connector不在名单；门禁放宽并非NPU KV/R3协议已闭环。</x:v>
      </x:c>
      <x:c r="K20" s="1950" t="str">
        <x:v>需要适配</x:v>
      </x:c>
      <x:c r="L20" s="1950" t="str">
        <x:v>为NPU connector明确AuxOutput能力，未验证的PD组合继续拒绝；完成前窗R3接口迁移后再验联合恢复。</x:v>
      </x:c>
      <x:c r="M20" s="1950" t="str">
        <x:v>P1</x:v>
      </x:c>
      <x:c r="N20" s="1950" t="str">
        <x:v>待适配</x:v>
      </x:c>
      <x:c r="O20" s="1950" t="str">
        <x:v>周学荣</x:v>
      </x:c>
      <x:c r="P20" s="1952" t="str">
        <x:v>https://github.com/vllm-project/vllm/pull/58150</x:v>
      </x:c>
    </x:row>
    <x:row r="21" ht="12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 ht="79.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 ht="120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 ht="93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 ht="93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 ht="70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 ht="70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</x:sheetData>
  <x:mergeCells>
    <x:mergeCell ref="A1:P1"/>
    <x:mergeCell ref="A2:P2"/>
  </x:mergeCells>
  <x:conditionalFormatting sqref="K5:K14">
    <x:cfRule type="containsText" dxfId="29" priority="1" operator="containsText" text="需要适配"/>
    <x:cfRule type="containsText" dxfId="30" priority="2" operator="containsText" text="直接继承"/>
    <x:cfRule type="containsText" dxfId="59" priority="7" operator="containsText" text="需要适配"/>
    <x:cfRule type="containsText" dxfId="60" priority="8" operator="containsText" text="直接继承"/>
    <x:cfRule type="containsText" dxfId="189" priority="33" operator="containsText" text="需要适配"/>
    <x:cfRule type="containsText" dxfId="190" priority="34" operator="containsText" text="直接继承"/>
  </x:conditionalFormatting>
  <x:conditionalFormatting sqref="K5:K15">
    <x:cfRule type="containsText" dxfId="39" priority="3" operator="containsText" text="需要适配"/>
    <x:cfRule type="containsText" dxfId="40" priority="4" operator="containsText" text="直接继承"/>
    <x:cfRule type="containsText" dxfId="199" priority="35" operator="containsText" text="需要适配"/>
    <x:cfRule type="containsText" dxfId="200" priority="36" operator="containsText" text="直接继承"/>
  </x:conditionalFormatting>
  <x:conditionalFormatting sqref="K5:K13">
    <x:cfRule type="containsText" dxfId="49" priority="5" operator="containsText" text="需要适配"/>
    <x:cfRule type="containsText" dxfId="50" priority="6" operator="containsText" text="直接继承"/>
  </x:conditionalFormatting>
  <x:conditionalFormatting sqref="K5:K17">
    <x:cfRule type="containsText" dxfId="69" priority="9" operator="containsText" text="需要适配"/>
    <x:cfRule type="containsText" dxfId="70" priority="10" operator="containsText" text="直接继承"/>
  </x:conditionalFormatting>
  <x:conditionalFormatting sqref="K5:K21">
    <x:cfRule type="containsText" dxfId="79" priority="11" operator="containsText" text="需要适配"/>
    <x:cfRule type="containsText" dxfId="80" priority="12" operator="containsText" text="直接继承"/>
    <x:cfRule type="containsText" dxfId="139" priority="23" operator="containsText" text="需要适配"/>
    <x:cfRule type="containsText" dxfId="140" priority="24" operator="containsText" text="直接继承"/>
  </x:conditionalFormatting>
  <x:conditionalFormatting sqref="K5:K23">
    <x:cfRule type="containsText" dxfId="89" priority="13" operator="containsText" text="需要适配"/>
    <x:cfRule type="containsText" dxfId="90" priority="14" operator="containsText" text="直接继承"/>
    <x:cfRule type="containsText" dxfId="129" priority="21" operator="containsText" text="需要适配"/>
    <x:cfRule type="containsText" dxfId="130" priority="22" operator="containsText" text="直接继承"/>
  </x:conditionalFormatting>
  <x:conditionalFormatting sqref="K5:K26">
    <x:cfRule type="containsText" dxfId="99" priority="15" operator="containsText" text="需要适配"/>
    <x:cfRule type="containsText" dxfId="100" priority="16" operator="containsText" text="直接继承"/>
    <x:cfRule type="containsText" dxfId="159" priority="27" operator="containsText" text="需要适配"/>
    <x:cfRule type="containsText" dxfId="160" priority="28" operator="containsText" text="直接继承"/>
  </x:conditionalFormatting>
  <x:conditionalFormatting sqref="K5:K22">
    <x:cfRule type="containsText" dxfId="109" priority="17" operator="containsText" text="需要适配"/>
    <x:cfRule type="containsText" dxfId="110" priority="18" operator="containsText" text="直接继承"/>
  </x:conditionalFormatting>
  <x:conditionalFormatting sqref="K5:K18">
    <x:cfRule type="containsText" dxfId="119" priority="19" operator="containsText" text="需要适配"/>
    <x:cfRule type="containsText" dxfId="120" priority="20" operator="containsText" text="直接继承"/>
  </x:conditionalFormatting>
  <x:conditionalFormatting sqref="K5:K27">
    <x:cfRule type="containsText" dxfId="149" priority="25" operator="containsText" text="需要适配"/>
    <x:cfRule type="containsText" dxfId="150" priority="26" operator="containsText" text="直接继承"/>
  </x:conditionalFormatting>
  <x:conditionalFormatting sqref="K5:K19">
    <x:cfRule type="containsText" dxfId="169" priority="29" operator="containsText" text="需要适配"/>
    <x:cfRule type="containsText" dxfId="170" priority="30" operator="containsText" text="直接继承"/>
  </x:conditionalFormatting>
  <x:conditionalFormatting sqref="K5:K10">
    <x:cfRule type="containsText" dxfId="179" priority="31" operator="containsText" text="需要适配"/>
    <x:cfRule type="containsText" dxfId="180" priority="32" operator="containsText" text="直接继承"/>
  </x:conditionalFormatting>
  <x:conditionalFormatting sqref="K5:K20">
    <x:cfRule type="containsText" dxfId="209" priority="37" operator="containsText" text="需要适配"/>
    <x:cfRule type="containsText" dxfId="210" priority="38" operator="containsText" text="直接继承"/>
  </x:conditionalFormatting>
  <x:pageMargins left="0.7" right="0.7" top="0.75" bottom="0.75" header="0.3" footer="0.3"/>
  <x:tableParts count="1">
    <x:tablePart xmlns:r="http://schemas.openxmlformats.org/officeDocument/2006/relationships" r:id="R6e6e0b131c7845a2"/>
  </x:tableParts>
</x:worksheet>
</file>